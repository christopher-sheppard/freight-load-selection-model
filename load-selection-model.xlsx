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Load Board" sheetId="3" state="visible" r:id="rId5"/>
    <sheet name="Scoring Rules" sheetId="4" state="visible" r:id="rId6"/>
    <sheet name="Settlement Recon" sheetId="5" state="visible" r:id="rId7"/>
    <sheet name="Score a Load" sheetId="6" state="visible" r:id="rId8"/>
    <sheet name="Testing" sheetId="7" state="visible" r:id="rId9"/>
  </sheets>
  <definedNames>
    <definedName function="false" hidden="false" name="RATE2" vbProcedure="false">'Scoring Rules'!$F$18</definedName>
    <definedName function="false" hidden="false" name="RATE3" vbProcedure="false">'Scoring Rules'!$E$18</definedName>
    <definedName function="false" hidden="false" name="RATE4" vbProcedure="false">'Scoring Rules'!$D$18</definedName>
    <definedName function="false" hidden="false" name="RATE5" vbProcedure="false">'Scoring Rules'!$C$18</definedName>
    <definedName function="false" hidden="false" name="TIME2" vbProcedure="false">'Scoring Rules'!$F$19</definedName>
    <definedName function="false" hidden="false" name="TIME3" vbProcedure="false">'Scoring Rules'!$E$19</definedName>
    <definedName function="false" hidden="false" name="TIME4" vbProcedure="false">'Scoring Rules'!$D$19</definedName>
    <definedName function="false" hidden="false" name="TIME5" vbProcedure="false">'Scoring Rules'!$C$19</definedName>
    <definedName function="false" hidden="false" name="WDEST" vbProcedure="false">'Scoring Rules'!$C$7</definedName>
    <definedName function="false" hidden="false" name="WDH" vbProcedure="false">'Scoring Rules'!$C$9</definedName>
    <definedName function="false" hidden="false" name="WDWELL" vbProcedure="false">'Scoring Rules'!$C$10</definedName>
    <definedName function="false" hidden="false" name="WHOS" vbProcedure="false">'Scoring Rules'!$C$13</definedName>
    <definedName function="false" hidden="false" name="WRATE" vbProcedure="false">'Scoring Rules'!$C$6</definedName>
    <definedName function="false" hidden="false" name="WROUTE" vbProcedure="false">'Scoring Rules'!$C$12</definedName>
    <definedName function="false" hidden="false" name="WSEC" vbProcedure="false">'Scoring Rules'!$C$11</definedName>
    <definedName function="false" hidden="false" name="WTIME" vbProcedure="false">'Scoring Rules'!$C$8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<sst xmlns="http://schemas.openxmlformats.org/spreadsheetml/2006/main" count="623" uniqueCount="562">
  <si>
    <t xml:space="preserve">LOAD SELECTION &amp; PROFITABILITY DECISION MODEL  —  v3</t>
  </si>
  <si>
    <t xml:space="preserve">Owner-operator freight evaluation  |  Christopher D. Sheppard  |  18 completed trips, settlement-derived cost stack
Built on eighteen completed loads from my own operation. Cost-per-mile inputs are derived from my own settlement history, using multi-year averages for the fixed and variable components and the most recent three weeks as current-period figures. These are actual operating numbers from a single owner-operator. They are not third-party audited results and, except for the explicitly labeled tire reserve, they are not industry benchmarks.</t>
  </si>
  <si>
    <t xml:space="preserve">VERSION HISTORY</t>
  </si>
  <si>
    <t xml:space="preserve">v1  —  Seven representative lanes, illustrative cost figures. Nothing in it could be shown wrong because nothing had been tested.</t>
  </si>
  <si>
    <t xml:space="preserve">v2  —  Rebuilt on 18 completed trips with operator scores. Removed a $0.280/mi truck payment on equipment owned outright, made fuel</t>
  </si>
  <si>
    <t xml:space="preserve">        economy depend on weight class, and re-weighted destination value from 15% to 25% after correlation testing.</t>
  </si>
  <si>
    <t xml:space="preserve">v3  —  Cost stack source-checked line by line against my own settlement history: multi-year averages plus the most recent three weeks as current-period figures.</t>
  </si>
  <si>
    <t xml:space="preserve">        Assumptions tab traces fixed and variable components to settlement-derived figures. The tire reserve is explicitly labeled as the one industry placeholder.</t>
  </si>
  <si>
    <t xml:space="preserve">WHAT THE STATEMENT CONFIRMED</t>
  </si>
  <si>
    <t xml:space="preserve">The 18-load sample blends to $2.1599 per mile. The statement year to date reads $2.163. That is a 0.15% difference across 19,214 sample</t>
  </si>
  <si>
    <t xml:space="preserve">miles against 56,752 year-to-date miles, which means the sample is a fair slice of the year and not a flattering selection.</t>
  </si>
  <si>
    <t xml:space="preserve">One trip in the sample (L-18) appears on this settlement, so a single load can be reconciled end to end. Loaded miles matched exactly and the</t>
  </si>
  <si>
    <t xml:space="preserve">linehaul matched to eleven cents.</t>
  </si>
  <si>
    <t xml:space="preserve">WHAT IT DISPROVED</t>
  </si>
  <si>
    <t xml:space="preserve">Maintenance was reserved at $0.180 per mile. Actual is $0.065 year to date and $0.070 lifetime — a 2.8x over-reserve.</t>
  </si>
  <si>
    <t xml:space="preserve">Tires were reserved at $0.045. Actual is zero: the tire fund accrual and dispersal offset exactly on the statement.</t>
  </si>
  <si>
    <t xml:space="preserve">Diesel was modelled at $3.70 a gallon. The settlement week shows $4.933 at the pump against an $0.857 discount.</t>
  </si>
  <si>
    <t xml:space="preserve">Annual miles were assumed at 120,000 with nothing behind the figure. It is now derived from 44 working weeks at 2,600 miles.</t>
  </si>
  <si>
    <t xml:space="preserve">The errors ran in opposite directions and mostly cancelled, so the v2 all-in figure was accurate to within eight cents for the wrong reasons.</t>
  </si>
  <si>
    <t xml:space="preserve">That is the argument for reconciling a model to source records rather than admiring it.</t>
  </si>
  <si>
    <t xml:space="preserve">One statement figure was deliberately not adopted. The lifetime average of 101,057 miles a year includes a year with seven months of home</t>
  </si>
  <si>
    <t xml:space="preserve">time after a birth, against a normal two. A lifetime average is not a run rate. See the note on the Assumptions tab.</t>
  </si>
  <si>
    <t xml:space="preserve">WHAT THE SOURCE DATA COVERS</t>
  </si>
  <si>
    <t xml:space="preserve">Read every LTD figure in this workbook as life of the current tractor, not life of the operator at this carrier.</t>
  </si>
  <si>
    <t xml:space="preserve">Tenure at Prime Inc. runs from March 2018, roughly 8.4 years. These figures start in January 2022 and cover 237 weeks on one tractor.</t>
  </si>
  <si>
    <t xml:space="preserve">The previous tractor, July 2018 through December 2021, is absent — Prime resets lifetime totals when a driver takes a new lease, so about</t>
  </si>
  <si>
    <t xml:space="preserve">three and a half years of own-truck operating history is not recoverable from this document. March to July 2018 was spent in a trainer's</t>
  </si>
  <si>
    <t xml:space="preserve">truck earning the 50,000 miles required for an A-seat, and those miles were never the operator's to claim.</t>
  </si>
  <si>
    <t xml:space="preserve">The gap is not neutral. The prior tractor was driven hard and turned in showing roughly 595,000 odometer miles from factory. The current</t>
  </si>
  <si>
    <t xml:space="preserve">one was treated carefully because it was being purchased. Cost figures drawn only from the careful years understate what a truck costs</t>
  </si>
  <si>
    <t xml:space="preserve">to run, which is a second reason the maintenance line is set above its observed value.</t>
  </si>
  <si>
    <t xml:space="preserve">AND ONE THING IT DID NOT SETTLE</t>
  </si>
  <si>
    <t xml:space="preserve">The app showed 265 empty miles on that trip. The settlement paid 204. Loaded miles matched exactly, so this is not a rounding artefact.</t>
  </si>
  <si>
    <t xml:space="preserve">The cause is unconfirmed — it may be specific to a repowered load, or Prime may pay on a different mileage basis than the app displays.</t>
  </si>
  <si>
    <t xml:space="preserve">Seventeen loads in the sample cannot be checked, so their mileage stays as the app reported it and the discrepancy is disclosed instead of</t>
  </si>
  <si>
    <t xml:space="preserve">quietly corrected. Both known errors push the same way, which makes the rate figures conservative.</t>
  </si>
  <si>
    <t xml:space="preserve">HOW TO USE IT</t>
  </si>
  <si>
    <t xml:space="preserve">1.  Assumptions — every yellow cell is an input. The cost lines already carry settlement-derived values; update diesel price as it moves.</t>
  </si>
  <si>
    <t xml:space="preserve">2.  Score a Load — fill the yellow cells for the offer in front of you. Answer the two gate questions first.</t>
  </si>
  <si>
    <t xml:space="preserve">3.  Settlement Recon — the reconciliation trail. Read this before trusting any cost figure in the workbook.</t>
  </si>
  <si>
    <t xml:space="preserve">4.  Scoring Rules — weights and band thresholds. Change one and every load re-scores.</t>
  </si>
  <si>
    <t xml:space="preserve">5.  Validation — how the model performed against 18 decisions already made, including where it fails.</t>
  </si>
  <si>
    <t xml:space="preserve">COLOR LEGEND</t>
  </si>
  <si>
    <t xml:space="preserve">Blue text = input you enter.    Green text = pulled from another tab.    Black text = calculated.    Yellow fill = assumption to replace with your own figure.</t>
  </si>
  <si>
    <t xml:space="preserve">HANDLING NOTE</t>
  </si>
  <si>
    <t xml:space="preserve">The source settlement carries bank routing numbers, customer names and a second driver name. It is not distributed with this workbook, and</t>
  </si>
  <si>
    <t xml:space="preserve">the figures reproduced here are per-mile aggregates and one trip reconciliation only.</t>
  </si>
  <si>
    <t xml:space="preserve">OPERATING ASSUMPTIONS</t>
  </si>
  <si>
    <t xml:space="preserve">v3 — cost-per-mile inputs below are derived from my own settlement history: multi-year averages for fixed and variable components, with the most recent three weeks used as current-period figures. The tire reserve is explicitly labeled as the one industry placeholder.</t>
  </si>
  <si>
    <t xml:space="preserve">FUEL</t>
  </si>
  <si>
    <t xml:space="preserve">Diesel pump price ($/gal)</t>
  </si>
  <si>
    <t xml:space="preserve">Settlement wk 26/07/31: 120.3 gal for $593.44. Update to what you are paying.</t>
  </si>
  <si>
    <t xml:space="preserve">Prime fuel discount ($/gal)</t>
  </si>
  <si>
    <t xml:space="preserve">Derived: YTD discount $0.119/mi at 7.20 blended mpg. Statement line TRACTOR FUEL DISCOUNT.</t>
  </si>
  <si>
    <t xml:space="preserve">Net diesel ($/gal)</t>
  </si>
  <si>
    <t xml:space="preserve">What fuel actually costs you after the discount. This is the figure the model burns.</t>
  </si>
  <si>
    <t xml:space="preserve">MPG — heavy (60,000 lb +)</t>
  </si>
  <si>
    <t xml:space="preserve">Operator-reported 6.5 to 7.7. YTD blended across all weight classes computes to 7.20.</t>
  </si>
  <si>
    <t xml:space="preserve">MPG — medium (25,000-60,000 lb)</t>
  </si>
  <si>
    <t xml:space="preserve">Estimated. L-17 at roughly 24,000 lb is the nearest observed point.</t>
  </si>
  <si>
    <t xml:space="preserve">MPG — light (under 25,000 lb)</t>
  </si>
  <si>
    <t xml:space="preserve">Operator-reported 9 to 11 on L-08, L-11, L-15, L-16.</t>
  </si>
  <si>
    <t xml:space="preserve">OTHER VARIABLE COST PER MILE   (from the operating statement, YTD actual)</t>
  </si>
  <si>
    <t xml:space="preserve">DEF, net of discount</t>
  </si>
  <si>
    <t xml:space="preserve">Statement: TRACTOR DEF $0.031 less DEF DISCOUNT $0.008.</t>
  </si>
  <si>
    <t xml:space="preserve">State fuel tax</t>
  </si>
  <si>
    <t xml:space="preserve">Statement: STATE FUEL TAX, YTD.</t>
  </si>
  <si>
    <t xml:space="preserve">Maintenance &amp; repair</t>
  </si>
  <si>
    <t xml:space="preserve">YTD $0.065, lifetime $0.070 — but both come from one truck the operator deliberately went easy on while purchasing it. Set at $0.120. See Settlement Recon.</t>
  </si>
  <si>
    <t xml:space="preserve">Tires  (NOT a statement figure)</t>
  </si>
  <si>
    <t xml:space="preserve">The statement nets to zero because Prime runs no tire fund for owner-operators — those lines are vestigial. Tires are paid personally and appear nowhere. Explicit industry placeholder; replace with actual spend.</t>
  </si>
  <si>
    <t xml:space="preserve">Tolls, Qualcomm, washing, misc</t>
  </si>
  <si>
    <t xml:space="preserve">Statement MISCELLANEOUS less advances and emergency-fund transfers, which are not operating costs.</t>
  </si>
  <si>
    <t xml:space="preserve">TOTAL NON-FUEL VARIABLE CPM</t>
  </si>
  <si>
    <t xml:space="preserve">Fuel is excluded here because it is priced per load from the weight class.</t>
  </si>
  <si>
    <t xml:space="preserve">FIXED COST</t>
  </si>
  <si>
    <t xml:space="preserve">Working weeks per year</t>
  </si>
  <si>
    <t xml:space="preserve">52 less roughly 8 weeks of home time. A typical year, not the lifetime average.</t>
  </si>
  <si>
    <t xml:space="preserve">Miles per working week</t>
  </si>
  <si>
    <t xml:space="preserve">Operator-reported 2,500 to 3,000. Set toward the low end because partial weeks count as working weeks.</t>
  </si>
  <si>
    <t xml:space="preserve">Annual miles driven</t>
  </si>
  <si>
    <t xml:space="preserve">Derived, not lifted from the statement. See the note below on why the lifetime average is the wrong number here.</t>
  </si>
  <si>
    <t xml:space="preserve">Truck payment (annual)</t>
  </si>
  <si>
    <t xml:space="preserve">Lease purchase completed January 2025. Statement RENT PAYMENT shows $0 current, $0.437/mi lifetime.</t>
  </si>
  <si>
    <t xml:space="preserve">Physical damage insurance (annual)</t>
  </si>
  <si>
    <t xml:space="preserve">YTD $0.061/mi annualised. Statement PHYSICAL DAMAGE INSURANCE.</t>
  </si>
  <si>
    <t xml:space="preserve">License and permits (annual)</t>
  </si>
  <si>
    <t xml:space="preserve">YTD $0.028/mi annualised. Statement LICENSE AND PERMITS.</t>
  </si>
  <si>
    <t xml:space="preserve">Operator occupational accident (annual)</t>
  </si>
  <si>
    <t xml:space="preserve">YTD $0.016/mi annualised. Statement OPERATOR OCCUP ACC.</t>
  </si>
  <si>
    <t xml:space="preserve">Statement prep, BT/DH, federal highway tax (annual)</t>
  </si>
  <si>
    <t xml:space="preserve">YTD $0.008 + $0.003 + $0.010 per mile annualised.</t>
  </si>
  <si>
    <t xml:space="preserve">TOTAL FIXED CPM</t>
  </si>
  <si>
    <t xml:space="preserve">Spread across total miles, loaded and empty. Statement TOTAL FIXED COST reads $0.128 YTD.</t>
  </si>
  <si>
    <t xml:space="preserve">BREAK-EVEN — THE NUMBER A LOAD MUST BEAT</t>
  </si>
  <si>
    <t xml:space="preserve">All-in CPM — heavy load</t>
  </si>
  <si>
    <t xml:space="preserve">Applied to total miles. Deadhead burns fuel and hours while earning nothing.</t>
  </si>
  <si>
    <t xml:space="preserve">All-in CPM — medium load</t>
  </si>
  <si>
    <t xml:space="preserve">All-in CPM — light load</t>
  </si>
  <si>
    <t xml:space="preserve">Cost advantage vs. financed operator</t>
  </si>
  <si>
    <t xml:space="preserve">A comparable owner-operator carrying a $33,600 annual note breaks even this much higher per mile.</t>
  </si>
  <si>
    <t xml:space="preserve">   Advantage across the 18-load sample</t>
  </si>
  <si>
    <t xml:space="preserve">Dollars of structural cost advantage across 19,214 miles.</t>
  </si>
  <si>
    <t xml:space="preserve">   Advantage across YTD miles</t>
  </si>
  <si>
    <t xml:space="preserve">Statement year-to-date miles are 56,752. This is the head start over a driver still paying for the truck.</t>
  </si>
  <si>
    <t xml:space="preserve">SENSITIVITY — annual miles is the assumption break-even is most exposed to</t>
  </si>
  <si>
    <t xml:space="preserve">Annual miles</t>
  </si>
  <si>
    <t xml:space="preserve">Fixed CPM</t>
  </si>
  <si>
    <t xml:space="preserve">Resulting heavy break-even, and what the mileage figure represents</t>
  </si>
  <si>
    <t xml:space="preserve">DECISION THRESHOLDS</t>
  </si>
  <si>
    <t xml:space="preserve">Maximum deadhead tolerance</t>
  </si>
  <si>
    <t xml:space="preserve">Hard gate 2.</t>
  </si>
  <si>
    <t xml:space="preserve">Accept score threshold</t>
  </si>
  <si>
    <t xml:space="preserve">Weighted score at or above this is an accept.</t>
  </si>
  <si>
    <t xml:space="preserve">Negotiate score threshold</t>
  </si>
  <si>
    <t xml:space="preserve">At or above this but below accept: counter the rate.</t>
  </si>
  <si>
    <t xml:space="preserve">Weekly revenue floor</t>
  </si>
  <si>
    <t xml:space="preserve">Replaces pricing home time per load. LTD average week is 1,943 miles; at $2.163/mi that is roughly $4,200 of revenue.</t>
  </si>
  <si>
    <t xml:space="preserve">Average road speed (mph)</t>
  </si>
  <si>
    <t xml:space="preserve">Used to estimate drive hours from total miles. Includes fuel and inspection stops.</t>
  </si>
  <si>
    <t xml:space="preserve">WHY NOT JUST USE THE LIFETIME AVERAGE?</t>
  </si>
  <si>
    <t xml:space="preserve">The statement gives 1,943.413 miles per week over 237 weeks, which annualises to 101,057. That figure is real but it is not a run rate.</t>
  </si>
  <si>
    <t xml:space="preserve">It contains an extended family-leave year in which the operator was off roughly seven months against a normal two.</t>
  </si>
  <si>
    <t xml:space="preserve">Two reconstructions agree on the right number. Strip that year out at roughly 21.7 working weeks and the remaining 185 weeks run 2,167 to</t>
  </si>
  <si>
    <t xml:space="preserve">2,196 per week, or 111,000 to 114,000 a year. Build it up instead from 44 working weeks at 2,500 to 2,600 miles and you get 110,000 to</t>
  </si>
  <si>
    <t xml:space="preserve">114,400. Two methods, one from the top and one from the bottom, landing within 3,000 miles of each other.</t>
  </si>
  <si>
    <t xml:space="preserve">The model uses 114,400 and exposes the driver so it can be argued with: change working weeks or miles per working week and every</t>
  </si>
  <si>
    <t xml:space="preserve">break-even figure moves. Note the direction of the risk — a higher annual figure lowers fixed cost per mile and therefore lowers the</t>
  </si>
  <si>
    <t xml:space="preserve">break-even a load has to clear. Assume a year that does not happen and the truck under-recovers its fixed cost.</t>
  </si>
  <si>
    <t xml:space="preserve">WHAT THE SETTLEMENT CHANGED</t>
  </si>
  <si>
    <t xml:space="preserve">v2 estimated this cost stack from industry reserve figures. Settlement history replaced the stack with source-checked figures. Three were badly wrong:</t>
  </si>
  <si>
    <t xml:space="preserve">   Maintenance was reserved at $0.180/mi against an actual $0.065. Tires were reserved at $0.045 against an actual of zero, because the tire fund</t>
  </si>
  <si>
    <t xml:space="preserve">   accrual and dispersal offset. Tolls and miscellaneous were set at $0.035 against an actual $0.045 once advances were stripped out.</t>
  </si>
  <si>
    <t xml:space="preserve">   Diesel was modelled at $3.70/gal against an actual pump price of $4.93.</t>
  </si>
  <si>
    <t xml:space="preserve">The errors ran in opposite directions and largely cancelled, which is exactly why estimating a cost stack and then never checking it is dangerous.</t>
  </si>
  <si>
    <t xml:space="preserve">The v2 total was right to within eight cents for the wrong reasons.</t>
  </si>
  <si>
    <t xml:space="preserve">LOAD BOARD  —  18 completed trips, Prime Inc. flatbed</t>
  </si>
  <si>
    <t xml:space="preserve">Revenue and mileage from Prime app trip history. See Settlement Recon: on the one load that can be checked, the app overstated total miles by 5.3%, so rate per mile here is conservative.</t>
  </si>
  <si>
    <t xml:space="preserve">Load</t>
  </si>
  <si>
    <t xml:space="preserve">Origin</t>
  </si>
  <si>
    <t xml:space="preserve">Destination</t>
  </si>
  <si>
    <t xml:space="preserve">Commodity</t>
  </si>
  <si>
    <t xml:space="preserve">Weight Class</t>
  </si>
  <si>
    <t xml:space="preserve">Revenue</t>
  </si>
  <si>
    <t xml:space="preserve">Loaded Mi</t>
  </si>
  <si>
    <t xml:space="preserve">Empty Mi</t>
  </si>
  <si>
    <t xml:space="preserve">Total Mi</t>
  </si>
  <si>
    <t xml:space="preserve">Drive Hrs</t>
  </si>
  <si>
    <t xml:space="preserve">Dwell Hrs</t>
  </si>
  <si>
    <t xml:space="preserve">Total Hrs</t>
  </si>
  <si>
    <t xml:space="preserve">Gross $/Mi</t>
  </si>
  <si>
    <t xml:space="preserve">Est MPG</t>
  </si>
  <si>
    <t xml:space="preserve">Fuel Cost</t>
  </si>
  <si>
    <t xml:space="preserve">Other Var</t>
  </si>
  <si>
    <t xml:space="preserve">Fixed Cost</t>
  </si>
  <si>
    <t xml:space="preserve">Total Cost</t>
  </si>
  <si>
    <t xml:space="preserve">Net Contrib</t>
  </si>
  <si>
    <t xml:space="preserve">Net $/Mi</t>
  </si>
  <si>
    <t xml:space="preserve">Net $/Hr</t>
  </si>
  <si>
    <t xml:space="preserve">DH %</t>
  </si>
  <si>
    <t xml:space="preserve">Rate</t>
  </si>
  <si>
    <t xml:space="preserve">Dest</t>
  </si>
  <si>
    <t xml:space="preserve">Time</t>
  </si>
  <si>
    <t xml:space="preserve">DH</t>
  </si>
  <si>
    <t xml:space="preserve">Dwell</t>
  </si>
  <si>
    <t xml:space="preserve">Secure</t>
  </si>
  <si>
    <t xml:space="preserve">Route</t>
  </si>
  <si>
    <t xml:space="preserve">HOS</t>
  </si>
  <si>
    <t xml:space="preserve">Weighted</t>
  </si>
  <si>
    <t xml:space="preserve">Gate</t>
  </si>
  <si>
    <t xml:space="preserve">DECISION</t>
  </si>
  <si>
    <t xml:space="preserve">Op Score</t>
  </si>
  <si>
    <t xml:space="preserve">Var</t>
  </si>
  <si>
    <t xml:space="preserve">L-01</t>
  </si>
  <si>
    <t xml:space="preserve">Visalia, CA</t>
  </si>
  <si>
    <t xml:space="preserve">Peoria, AZ</t>
  </si>
  <si>
    <t xml:space="preserve">Metal building components</t>
  </si>
  <si>
    <t xml:space="preserve">Medium</t>
  </si>
  <si>
    <t xml:space="preserve">L-02</t>
  </si>
  <si>
    <t xml:space="preserve">Tempe, AZ</t>
  </si>
  <si>
    <t xml:space="preserve">Rayville, LA</t>
  </si>
  <si>
    <t xml:space="preserve">AC units</t>
  </si>
  <si>
    <t xml:space="preserve">Light</t>
  </si>
  <si>
    <t xml:space="preserve">L-03</t>
  </si>
  <si>
    <t xml:space="preserve">Natchitoches, LA</t>
  </si>
  <si>
    <t xml:space="preserve">Salt Lake City, UT</t>
  </si>
  <si>
    <t xml:space="preserve">Lumber, untarped</t>
  </si>
  <si>
    <t xml:space="preserve">Heavy</t>
  </si>
  <si>
    <t xml:space="preserve">L-04</t>
  </si>
  <si>
    <t xml:space="preserve">Cedar City, UT</t>
  </si>
  <si>
    <t xml:space="preserve">Brentwood, CA</t>
  </si>
  <si>
    <t xml:space="preserve">Pipe</t>
  </si>
  <si>
    <t xml:space="preserve">L-05</t>
  </si>
  <si>
    <t xml:space="preserve">Oakland, CA</t>
  </si>
  <si>
    <t xml:space="preserve">Mead, CO</t>
  </si>
  <si>
    <t xml:space="preserve">Wood products, tarped</t>
  </si>
  <si>
    <t xml:space="preserve">L-06</t>
  </si>
  <si>
    <t xml:space="preserve">Pueblo, CO</t>
  </si>
  <si>
    <t xml:space="preserve">Stillwater, OK</t>
  </si>
  <si>
    <t xml:space="preserve">Steel rod / bar</t>
  </si>
  <si>
    <t xml:space="preserve">L-07</t>
  </si>
  <si>
    <t xml:space="preserve">Maize, KS</t>
  </si>
  <si>
    <t xml:space="preserve">Sikeston, MO</t>
  </si>
  <si>
    <t xml:space="preserve">Pipe, irregular</t>
  </si>
  <si>
    <t xml:space="preserve">L-08</t>
  </si>
  <si>
    <t xml:space="preserve">Troy, IL</t>
  </si>
  <si>
    <t xml:space="preserve">Sulphur, LA</t>
  </si>
  <si>
    <t xml:space="preserve">Strut / fittings, 2.5k lb</t>
  </si>
  <si>
    <t xml:space="preserve">L-09</t>
  </si>
  <si>
    <t xml:space="preserve">Joyce, LA</t>
  </si>
  <si>
    <t xml:space="preserve">Elmendorf, TX</t>
  </si>
  <si>
    <t xml:space="preserve">Lumber, tarped</t>
  </si>
  <si>
    <t xml:space="preserve">L-10</t>
  </si>
  <si>
    <t xml:space="preserve">Houston, TX</t>
  </si>
  <si>
    <t xml:space="preserve">Ontario, CA</t>
  </si>
  <si>
    <t xml:space="preserve">Metal building</t>
  </si>
  <si>
    <t xml:space="preserve">L-11</t>
  </si>
  <si>
    <t xml:space="preserve">Roseburg, OR</t>
  </si>
  <si>
    <t xml:space="preserve">Metal building, 11k lb</t>
  </si>
  <si>
    <t xml:space="preserve">L-12</t>
  </si>
  <si>
    <t xml:space="preserve">Riddle, OR</t>
  </si>
  <si>
    <t xml:space="preserve">Midlothian, TX</t>
  </si>
  <si>
    <t xml:space="preserve">Lumber</t>
  </si>
  <si>
    <t xml:space="preserve">L-13</t>
  </si>
  <si>
    <t xml:space="preserve">Terrell, TX</t>
  </si>
  <si>
    <t xml:space="preserve">Fort Bliss, TX</t>
  </si>
  <si>
    <t xml:space="preserve">Steel, untarped</t>
  </si>
  <si>
    <t xml:space="preserve">L-14</t>
  </si>
  <si>
    <t xml:space="preserve">Socorro, TX</t>
  </si>
  <si>
    <t xml:space="preserve">Apollo Beach, FL  (HOME)</t>
  </si>
  <si>
    <t xml:space="preserve">Tarped freight</t>
  </si>
  <si>
    <t xml:space="preserve">L-15</t>
  </si>
  <si>
    <t xml:space="preserve">Lake City, FL</t>
  </si>
  <si>
    <t xml:space="preserve">Charlottesville, VA</t>
  </si>
  <si>
    <t xml:space="preserve">Foam board, 5k lb</t>
  </si>
  <si>
    <t xml:space="preserve">L-16</t>
  </si>
  <si>
    <t xml:space="preserve">Winchester, VA</t>
  </si>
  <si>
    <t xml:space="preserve">Pittston, PA  (HUB)</t>
  </si>
  <si>
    <t xml:space="preserve">L-17</t>
  </si>
  <si>
    <t xml:space="preserve">Reading, PA</t>
  </si>
  <si>
    <t xml:space="preserve">Springfield, MO  (HUB)</t>
  </si>
  <si>
    <t xml:space="preserve">Two flatbed trailers, 24k lb</t>
  </si>
  <si>
    <t xml:space="preserve">L-18</t>
  </si>
  <si>
    <t xml:space="preserve">Blytheville, AR</t>
  </si>
  <si>
    <t xml:space="preserve">W Palm Beach, FL  (HOME)</t>
  </si>
  <si>
    <t xml:space="preserve">Roofing, repower</t>
  </si>
  <si>
    <t xml:space="preserve">TOTALS</t>
  </si>
  <si>
    <t xml:space="preserve">Var = model score doubled to a 10-point scale, minus operator score. Positive means the model rated the load higher than the operator did.</t>
  </si>
  <si>
    <t xml:space="preserve">Weight class drives MPG, which drives fuel cost, which drives net contribution. Changing a class re-prices the load end to end.</t>
  </si>
  <si>
    <t xml:space="preserve">SCORING RULES &amp; WEIGHTS</t>
  </si>
  <si>
    <t xml:space="preserve">Weights must total 100%. Rate and time bands were re-cut in v3 because the source-checked cost stack moved the break-even floor.</t>
  </si>
  <si>
    <t xml:space="preserve">Dimension</t>
  </si>
  <si>
    <t xml:space="preserve">Weight</t>
  </si>
  <si>
    <t xml:space="preserve">Type</t>
  </si>
  <si>
    <t xml:space="preserve">Score 5</t>
  </si>
  <si>
    <t xml:space="preserve">Score 4</t>
  </si>
  <si>
    <t xml:space="preserve">Score 3</t>
  </si>
  <si>
    <t xml:space="preserve">Score 2</t>
  </si>
  <si>
    <t xml:space="preserve">Score 1</t>
  </si>
  <si>
    <t xml:space="preserve">Rate quality (net $ per total mile)</t>
  </si>
  <si>
    <t xml:space="preserve">Calculated</t>
  </si>
  <si>
    <t xml:space="preserve">see bands below</t>
  </si>
  <si>
    <t xml:space="preserve">Destination value (reload / hub / home)</t>
  </si>
  <si>
    <t xml:space="preserve">Judgment</t>
  </si>
  <si>
    <t xml:space="preserve">Hub or home</t>
  </si>
  <si>
    <t xml:space="preserve">Strong market</t>
  </si>
  <si>
    <t xml:space="preserve">Average</t>
  </si>
  <si>
    <t xml:space="preserve">Weak</t>
  </si>
  <si>
    <t xml:space="preserve">Dead market</t>
  </si>
  <si>
    <t xml:space="preserve">Time efficiency (net $ per hour)</t>
  </si>
  <si>
    <t xml:space="preserve">Deadhead efficiency (% empty)</t>
  </si>
  <si>
    <t xml:space="preserve">&lt;= 5%</t>
  </si>
  <si>
    <t xml:space="preserve">&lt;= 10%</t>
  </si>
  <si>
    <t xml:space="preserve">&lt;= 18%</t>
  </si>
  <si>
    <t xml:space="preserve">&lt;= 28%</t>
  </si>
  <si>
    <t xml:space="preserve">&gt; 28%</t>
  </si>
  <si>
    <t xml:space="preserve">Dwell / detention risk</t>
  </si>
  <si>
    <t xml:space="preserve">Drop &amp; hook</t>
  </si>
  <si>
    <t xml:space="preserve">Live, on time</t>
  </si>
  <si>
    <t xml:space="preserve">Mixed history</t>
  </si>
  <si>
    <t xml:space="preserve">Slow facility</t>
  </si>
  <si>
    <t xml:space="preserve">Known problem</t>
  </si>
  <si>
    <t xml:space="preserve">Securement / handling burden</t>
  </si>
  <si>
    <t xml:space="preserve">No tarp</t>
  </si>
  <si>
    <t xml:space="preserve">Light tarp</t>
  </si>
  <si>
    <t xml:space="preserve">Full tarp</t>
  </si>
  <si>
    <t xml:space="preserve">Tarp + permit</t>
  </si>
  <si>
    <t xml:space="preserve">Oversize + escort</t>
  </si>
  <si>
    <t xml:space="preserve">Route conditions</t>
  </si>
  <si>
    <t xml:space="preserve">Flat, cheap fuel</t>
  </si>
  <si>
    <t xml:space="preserve">Minor grades</t>
  </si>
  <si>
    <t xml:space="preserve">Mixed</t>
  </si>
  <si>
    <t xml:space="preserve">Heavy grades</t>
  </si>
  <si>
    <t xml:space="preserve">No parking / severe</t>
  </si>
  <si>
    <t xml:space="preserve">HOS &amp; appointment feasibility</t>
  </si>
  <si>
    <t xml:space="preserve">Ample margin</t>
  </si>
  <si>
    <t xml:space="preserve">Comfortable</t>
  </si>
  <si>
    <t xml:space="preserve">Tight but legal</t>
  </si>
  <si>
    <t xml:space="preserve">Very tight</t>
  </si>
  <si>
    <t xml:space="preserve">Not legal</t>
  </si>
  <si>
    <t xml:space="preserve">TOTAL WEIGHT</t>
  </si>
  <si>
    <t xml:space="preserve">CALCULATED BANDS  (edit these numbers to re-cut the scale)</t>
  </si>
  <si>
    <t xml:space="preserve">below = 1</t>
  </si>
  <si>
    <t xml:space="preserve">Rate — net $ per total mile</t>
  </si>
  <si>
    <t xml:space="preserve">anything lower</t>
  </si>
  <si>
    <t xml:space="preserve">Time — net $ per hour committed</t>
  </si>
  <si>
    <t xml:space="preserve">WHY THESE WEIGHTS AND BANDS</t>
  </si>
  <si>
    <t xml:space="preserve">Rate and destination carry 25% each. Correlation between operator score and net rate per mile across the 18 loads is 0.62, so rate explains</t>
  </si>
  <si>
    <t xml:space="preserve">under 40% of accept decisions. The residuals cluster on loads routing toward a terminal or toward home, which is what forced destination up</t>
  </si>
  <si>
    <t xml:space="preserve">from the 15% it carried in v1.</t>
  </si>
  <si>
    <t xml:space="preserve">Securement sits at 5%. Tarp pay of $90 to $150 arrives as a revenue line on the rate confirmation — the operating statement shows $2,620</t>
  </si>
  <si>
    <t xml:space="preserve">of tarp pay year to date — so the labour is already compensated in the numerator. Weighting it again double-counts it.</t>
  </si>
  <si>
    <t xml:space="preserve">The rate band has been re-cut at every change to the cost floor. v1 used $0.60 for a 5 against a $1.342 floor. Removing the phantom truck</t>
  </si>
  <si>
    <t xml:space="preserve">payment moved it to $1.50, and adding a tire reserve the statement does not carry moved it to $1.58. A band that does not move when the</t>
  </si>
  <si>
    <t xml:space="preserve">floor moves stops discriminating: at the v1 setting, seventeen of eighteen loads score a 5.</t>
  </si>
  <si>
    <t xml:space="preserve">SETTLEMENT RECONCILIATION</t>
  </si>
  <si>
    <t xml:space="preserve">Source: Prime Inc. settlement and operating statement, week ending 26/07/31, 237 weeks in service. Not published with this workbook — it carries bank and customer detail.</t>
  </si>
  <si>
    <t xml:space="preserve">THE RECONCILED TRIP  —  the one load in the sample that can be checked against a settlement</t>
  </si>
  <si>
    <t xml:space="preserve">This is L-18. Blytheville AR to a Jacksonville FL stop-off to West Palm Beach FL, repowered.</t>
  </si>
  <si>
    <t xml:space="preserve">Line</t>
  </si>
  <si>
    <t xml:space="preserve">App estimate</t>
  </si>
  <si>
    <t xml:space="preserve">Settlement</t>
  </si>
  <si>
    <t xml:space="preserve">Delta</t>
  </si>
  <si>
    <t xml:space="preserve">Note</t>
  </si>
  <si>
    <t xml:space="preserve">Loaded miles</t>
  </si>
  <si>
    <t xml:space="preserve">exact</t>
  </si>
  <si>
    <t xml:space="preserve">Matches to the mile.</t>
  </si>
  <si>
    <t xml:space="preserve">Empty miles</t>
  </si>
  <si>
    <t xml:space="preserve">-61</t>
  </si>
  <si>
    <t xml:space="preserve">App showed more. Cause unconfirmed — repower segment or a different mileage basis.</t>
  </si>
  <si>
    <t xml:space="preserve">Total miles</t>
  </si>
  <si>
    <t xml:space="preserve">5.3% fewer paid miles on this trip. One observation, not a pattern.</t>
  </si>
  <si>
    <t xml:space="preserve">Linehaul (owner share)</t>
  </si>
  <si>
    <t xml:space="preserve">+0.11</t>
  </si>
  <si>
    <t xml:space="preserve">72% owner split of $3,288.81 trip revenue. Rounding only.</t>
  </si>
  <si>
    <t xml:space="preserve">Fuel surcharge</t>
  </si>
  <si>
    <t xml:space="preserve">0.00</t>
  </si>
  <si>
    <t xml:space="preserve">Exact.</t>
  </si>
  <si>
    <t xml:space="preserve">Stop / pickup pay</t>
  </si>
  <si>
    <t xml:space="preserve">Longevity pay</t>
  </si>
  <si>
    <t xml:space="preserve">+21.96</t>
  </si>
  <si>
    <t xml:space="preserve">Does not appear in the app.</t>
  </si>
  <si>
    <t xml:space="preserve">Toll reimbursement</t>
  </si>
  <si>
    <t xml:space="preserve">+13.33</t>
  </si>
  <si>
    <t xml:space="preserve">TOTAL REVENUE</t>
  </si>
  <si>
    <t xml:space="preserve">+35.40</t>
  </si>
  <si>
    <t xml:space="preserve">App understates revenue by the two lines above.</t>
  </si>
  <si>
    <t xml:space="preserve">Rate per total mile</t>
  </si>
  <si>
    <t xml:space="preserve">+0.174</t>
  </si>
  <si>
    <t xml:space="preserve">On this trip, both differences push the settled rate above the app estimate.</t>
  </si>
  <si>
    <t xml:space="preserve">The customer was billed $4,490.41 on this load (1,049 miles at $3.50 plus $618.91 fuel surcharge and a $200 stop charge).</t>
  </si>
  <si>
    <t xml:space="preserve">The operator received $2,986.43 of that, or 66.5%, because the 72% split applies only to the trip revenue portion actually run.</t>
  </si>
  <si>
    <t xml:space="preserve">IS THE 18-LOAD SAMPLE REPRESENTATIVE?</t>
  </si>
  <si>
    <t xml:space="preserve">Measure</t>
  </si>
  <si>
    <t xml:space="preserve">18-load sample</t>
  </si>
  <si>
    <t xml:space="preserve">Statement YTD</t>
  </si>
  <si>
    <t xml:space="preserve">Statement LTD</t>
  </si>
  <si>
    <t xml:space="preserve">Total revenue per mile</t>
  </si>
  <si>
    <t xml:space="preserve">Sample and YTD agree to 0.15%. The 18 loads are a fair slice of the year.</t>
  </si>
  <si>
    <t xml:space="preserve">Net per mile after all-in cost</t>
  </si>
  <si>
    <t xml:space="preserve">Sample runs higher: five of the eighteen loads are light freight at 10 mpg, so its blended fuel cost is below the YTD average.</t>
  </si>
  <si>
    <t xml:space="preserve">Miles</t>
  </si>
  <si>
    <t xml:space="preserve">Sample is 34% of the year to date and 4.2% of lifetime miles.</t>
  </si>
  <si>
    <t xml:space="preserve">Deadhead</t>
  </si>
  <si>
    <t xml:space="preserve">—</t>
  </si>
  <si>
    <t xml:space="preserve">No statement equivalent; Prime reports paid empty miles per trip only.</t>
  </si>
  <si>
    <t xml:space="preserve">COST STACK — WHAT v2 ESTIMATED VS WHAT THE STATEMENT SHOWS</t>
  </si>
  <si>
    <t xml:space="preserve">Cost line</t>
  </si>
  <si>
    <t xml:space="preserve">v2 estimate</t>
  </si>
  <si>
    <t xml:space="preserve">v3 setting</t>
  </si>
  <si>
    <t xml:space="preserve">Basis for the v3 number</t>
  </si>
  <si>
    <t xml:space="preserve">Diesel, pump</t>
  </si>
  <si>
    <t xml:space="preserve">$3.700/gal</t>
  </si>
  <si>
    <t xml:space="preserve">$4.933/gal</t>
  </si>
  <si>
    <t xml:space="preserve">Settlement week: 120.3 gallons for $593.44.</t>
  </si>
  <si>
    <t xml:space="preserve">Fuel discount</t>
  </si>
  <si>
    <t xml:space="preserve">not modelled</t>
  </si>
  <si>
    <t xml:space="preserve">$0.857/gal</t>
  </si>
  <si>
    <t xml:space="preserve">YTD $0.119/mi at 7.20 blended mpg.</t>
  </si>
  <si>
    <t xml:space="preserve">$0.180</t>
  </si>
  <si>
    <t xml:space="preserve">$0.065</t>
  </si>
  <si>
    <t xml:space="preserve">$0.120</t>
  </si>
  <si>
    <t xml:space="preserve">Split between the actual and the prior reserve. See note below.</t>
  </si>
  <si>
    <t xml:space="preserve">Tires</t>
  </si>
  <si>
    <t xml:space="preserve">$0.045</t>
  </si>
  <si>
    <t xml:space="preserve">$0.000 (absent)</t>
  </si>
  <si>
    <t xml:space="preserve">Statement shows zero because no tire fund exists for owner-operators. Cost is real and paid personally.</t>
  </si>
  <si>
    <t xml:space="preserve">Tolls, Qualcomm, misc</t>
  </si>
  <si>
    <t xml:space="preserve">$0.035</t>
  </si>
  <si>
    <t xml:space="preserve">Statement miscellaneous, less advances and emergency-fund transfers.</t>
  </si>
  <si>
    <t xml:space="preserve">Total fixed</t>
  </si>
  <si>
    <t xml:space="preserve">$0.190</t>
  </si>
  <si>
    <t xml:space="preserve">$0.128</t>
  </si>
  <si>
    <t xml:space="preserve">$0.111</t>
  </si>
  <si>
    <t xml:space="preserve">Rebuilt from seven statement lines, divided by 114,400 rather than the statement's own mileage.</t>
  </si>
  <si>
    <t xml:space="preserve">120,000</t>
  </si>
  <si>
    <t xml:space="preserve">101,057 lifetime</t>
  </si>
  <si>
    <t xml:space="preserve">114,400</t>
  </si>
  <si>
    <t xml:space="preserve">Statement average includes a 7-month home-time year. Rebuilt as 44 working weeks x 2,600 mi.</t>
  </si>
  <si>
    <t xml:space="preserve">ALL-IN, heavy load</t>
  </si>
  <si>
    <t xml:space="preserve">$0.999</t>
  </si>
  <si>
    <t xml:space="preserve">$0.934</t>
  </si>
  <si>
    <t xml:space="preserve">Ties to the statement within $0.006 on a like-for-like basis. See the reconciliation below.</t>
  </si>
  <si>
    <t xml:space="preserve">WHAT THIS STATEMENT DOES NOT COVER</t>
  </si>
  <si>
    <t xml:space="preserve">Every lifetime figure in this workbook is labelled LTD, and that label is misleading unless it is qualified. It means life of the current</t>
  </si>
  <si>
    <t xml:space="preserve">tractor, not life of the operator at this carrier.</t>
  </si>
  <si>
    <t xml:space="preserve">   Tenure at Prime Inc.                March 2018 to present, roughly 8.4 years.</t>
  </si>
  <si>
    <t xml:space="preserve">   Covered by these figures            January 2022 to present, 237 weeks, one tractor.</t>
  </si>
  <si>
    <t xml:space="preserve">   Not covered                         July 2018 to December 2021, the previous tractor, roughly 3.5 years of own-truck operation.</t>
  </si>
  <si>
    <t xml:space="preserve">   Also not the operator's miles       March to July 2018, in a trainer's truck for the 50,000 miles required to earn an A-seat.</t>
  </si>
  <si>
    <t xml:space="preserve">Prime resets lifetime totals when a driver takes a new lease or lease purchase, so the earlier operating history is not recoverable from</t>
  </si>
  <si>
    <t xml:space="preserve">this document. The prior tractor was turned in showing 595,000-odd odometer miles from factory; how many of those the operator put on</t>
  </si>
  <si>
    <t xml:space="preserve">it is not established by anything in these records, so no rate is derived from it here.</t>
  </si>
  <si>
    <t xml:space="preserve">That gap matters most for maintenance. The prior truck was, in the operator's words, driven into the ground. The current one was treated</t>
  </si>
  <si>
    <t xml:space="preserve">carefully because he was buying it. A cost figure drawn only from the careful years is not a fair estimate of what a truck costs to run,</t>
  </si>
  <si>
    <t xml:space="preserve">and the $0.065 observed here should be read as a floor rather than an average.</t>
  </si>
  <si>
    <t xml:space="preserve">HOW THE MODEL TIES TO THE STATEMENT</t>
  </si>
  <si>
    <t xml:space="preserve">Two figures are reported because they answer two different questions, and collapsing them into one would be misleading.</t>
  </si>
  <si>
    <t xml:space="preserve">LIKE-FOR-LIKE.  Set the model to the statement's own values — maintenance at the actual $0.065, tires at the zero the statement shows,</t>
  </si>
  <si>
    <t xml:space="preserve">fixed cost divided by the statement's own 101,057 annual miles — and it returns $0.832 per mile at the year-to-date blended 7.20 mpg.</t>
  </si>
  <si>
    <t xml:space="preserve">The statement's operating cost over the same scope, less the advances and emergency-fund transfers that are not operating costs, is</t>
  </si>
  <si>
    <t xml:space="preserve">$0.838. The gap is $0.006. That is the arithmetic check, and it passes.</t>
  </si>
  <si>
    <t xml:space="preserve">AS CONFIGURED.  The model actually runs at $0.917 blended, which is $0.085 above the statement. Every cent of that gap is a deliberate,</t>
  </si>
  <si>
    <t xml:space="preserve">itemised choice rather than a discrepancy:</t>
  </si>
  <si>
    <t xml:space="preserve">      Maintenance reserved above actual          + $0.055        one turbo erases three years of $0.065</t>
  </si>
  <si>
    <t xml:space="preserve">      Tire reserve the statement does not carry  + $0.045        no tire fund exists for owner-operators</t>
  </si>
  <si>
    <t xml:space="preserve">      Annual miles normalised to 114,400         -  $0.015        removes an extended family-leave year</t>
  </si>
  <si>
    <t xml:space="preserve">      Net                                        + $0.085</t>
  </si>
  <si>
    <t xml:space="preserve">Quoting the $0.006 alone would imply the model matches the statement. It does not, and it should not — two of those three adjustments</t>
  </si>
  <si>
    <t xml:space="preserve">exist because the statement understates what the truck actually costs to run.</t>
  </si>
  <si>
    <t xml:space="preserve">ON THE TIRE LINE</t>
  </si>
  <si>
    <t xml:space="preserve">The statement carries ACCRUAL &amp; REIMB FOR TIRE EXP and DISPERSED CURRENT TIRE FUND, and they offset to the cent. An earlier version of</t>
  </si>
  <si>
    <t xml:space="preserve">this model read that as evidence that tires cost nothing. That was wrong.</t>
  </si>
  <si>
    <t xml:space="preserve">Prime operates a tire fund for lease drivers, not for owner-operators. For this unit those two lines are vestigial. Tires are bought</t>
  </si>
  <si>
    <t xml:space="preserve">personally out of a working emergency fund and never appear on the settlement at all. The statement does not show a zero cost; it shows</t>
  </si>
  <si>
    <t xml:space="preserve">no cost, which is a different thing.</t>
  </si>
  <si>
    <t xml:space="preserve">The model therefore carries $0.045 per mile as an explicitly labeled industry placeholder, flagged on the Assumptions tab as the one cost line not traceable</t>
  </si>
  <si>
    <t xml:space="preserve">to a statement line. It is the weakest figure in the stack and should be replaced with actual tire spend when that is available.</t>
  </si>
  <si>
    <t xml:space="preserve">ON THE MAINTENANCE NUMBER</t>
  </si>
  <si>
    <t xml:space="preserve">Year to date maintenance is $0.065 per mile and lifetime is $0.070. Those two agreeing is weaker evidence than it looks: both are drawn from</t>
  </si>
  <si>
    <t xml:space="preserve">the same tractor over the same period, so they confirm each other rather than the underlying rate.</t>
  </si>
  <si>
    <t xml:space="preserve">Two things push the real number higher. The truck has 460,589 miles and the lease finished in January 2025, so the warranty window that</t>
  </si>
  <si>
    <t xml:space="preserve">produced those years is behind it. And the operator ran this tractor gently because he was purchasing it, which the prior tractor did not</t>
  </si>
  <si>
    <t xml:space="preserve">get. One turbo or one injector set erases three years of $0.065. The model runs at $0.120 as a deliberate over-reserve, which raises</t>
  </si>
  <si>
    <t xml:space="preserve">break-even by roughly six cents a mile and costs nothing if the repairs never come.</t>
  </si>
  <si>
    <t xml:space="preserve">This is a judgement call, not a measurement, and it is flagged here rather than buried in a cell so a reader can disagree with it.</t>
  </si>
  <si>
    <t xml:space="preserve">KNOWN DATA-QUALITY ISSUE</t>
  </si>
  <si>
    <t xml:space="preserve">Seventeen of the eighteen loads use mileage as the app displayed it, because no settlement was pulled for them. On the single load that could be</t>
  </si>
  <si>
    <t xml:space="preserve">checked, the app showed 5.3% more total miles and $35.40 less revenue than the settlement.</t>
  </si>
  <si>
    <t xml:space="preserve">That is one observation. It does not establish that the app runs high generally, and no correction has been applied to the other seventeen on</t>
  </si>
  <si>
    <t xml:space="preserve">the strength of it. Whether the gap is a repower artefact or a systematic difference in mileage basis is unresolved. Pulling settlements for</t>
  </si>
  <si>
    <t xml:space="preserve">the remaining loads is the only way to find out and is the next data task.</t>
  </si>
  <si>
    <t xml:space="preserve">SCORE A LOAD BEFORE YOU ACCEPT IT</t>
  </si>
  <si>
    <t xml:space="preserve">Fill the yellow cells. Answer the two gate questions first — if either fails, the score is irrelevant.</t>
  </si>
  <si>
    <t xml:space="preserve">HARD GATES</t>
  </si>
  <si>
    <t xml:space="preserve">Can you legally make the delivery window?</t>
  </si>
  <si>
    <t xml:space="preserve">YES</t>
  </si>
  <si>
    <t xml:space="preserve">YES or NO. Check the clock before anything else.</t>
  </si>
  <si>
    <t xml:space="preserve">Is the shipper or receiver blacklisted?</t>
  </si>
  <si>
    <t xml:space="preserve">NO</t>
  </si>
  <si>
    <t xml:space="preserve">NO or YES. Three facilities sit on this list.</t>
  </si>
  <si>
    <t xml:space="preserve">Gate result</t>
  </si>
  <si>
    <t xml:space="preserve">LOAD DETAILS</t>
  </si>
  <si>
    <t xml:space="preserve">Total miles (loaded + empty)</t>
  </si>
  <si>
    <t xml:space="preserve">Add both. Use settled miles if you have them; the app runs about 5% high.</t>
  </si>
  <si>
    <t xml:space="preserve">Of that, empty miles</t>
  </si>
  <si>
    <t xml:space="preserve">Drives gate 2 and the deadhead dimension.</t>
  </si>
  <si>
    <t xml:space="preserve">Estimated revenue ($)</t>
  </si>
  <si>
    <t xml:space="preserve">All in — linehaul, fuel surcharge, tarp, stop pay, longevity, tolls.</t>
  </si>
  <si>
    <t xml:space="preserve">Weight class</t>
  </si>
  <si>
    <t xml:space="preserve">Heavy, Medium or Light. Infer from commodity: foam, panel, AC unit, strut run light. Pipe, coil, rod, bar, lumber run heavy.</t>
  </si>
  <si>
    <t xml:space="preserve">Estimated total hours (drive + dwell)</t>
  </si>
  <si>
    <t xml:space="preserve">Drive time at roughly 52 mph plus expected loading, securement and dwell.</t>
  </si>
  <si>
    <t xml:space="preserve">JUDGMENT SCORES  (1 to 5 — see Scoring Rules)</t>
  </si>
  <si>
    <t xml:space="preserve">Destination value</t>
  </si>
  <si>
    <t xml:space="preserve">5 = hub (Springfield, Pittston, Salt Lake, Minooka, Laredo) or routing home. 3 = average. 1 = dead end.</t>
  </si>
  <si>
    <t xml:space="preserve">5 = drop and hook or a facility you know how to work. 1 = a known problem receiver.</t>
  </si>
  <si>
    <t xml:space="preserve">5 = no tarp. 1 = oversize with escort. Tarp pay already compensates this in revenue.</t>
  </si>
  <si>
    <t xml:space="preserve">5 = flat with cheap fuel and good parking. 1 = heavy grades, no signal, nowhere to shut down.</t>
  </si>
  <si>
    <t xml:space="preserve">5 = ample margin. 1 = not legally possible, which also trips gate 3.</t>
  </si>
  <si>
    <t xml:space="preserve">RESULT</t>
  </si>
  <si>
    <t xml:space="preserve">Gross rate per total mile</t>
  </si>
  <si>
    <t xml:space="preserve">Estimated MPG</t>
  </si>
  <si>
    <t xml:space="preserve">From the weight-class band on Assumptions.</t>
  </si>
  <si>
    <t xml:space="preserve">Fuel cost</t>
  </si>
  <si>
    <t xml:space="preserve">Net of the Prime discount.</t>
  </si>
  <si>
    <t xml:space="preserve">Other variable cost</t>
  </si>
  <si>
    <t xml:space="preserve">Fixed cost</t>
  </si>
  <si>
    <t xml:space="preserve">Total cost</t>
  </si>
  <si>
    <t xml:space="preserve">Net contribution</t>
  </si>
  <si>
    <t xml:space="preserve">What the load leaves behind after every mile is paid for.</t>
  </si>
  <si>
    <t xml:space="preserve">Net $ per total mile</t>
  </si>
  <si>
    <t xml:space="preserve">Net $ per hour committed</t>
  </si>
  <si>
    <t xml:space="preserve">A well-paying load that burns eleven hours at a slow facility is a poor use of a finite clock.</t>
  </si>
  <si>
    <t xml:space="preserve">Deadhead %</t>
  </si>
  <si>
    <t xml:space="preserve">Above the tolerance on Assumptions this trips gate 2 regardless of score.</t>
  </si>
  <si>
    <t xml:space="preserve">WEIGHTED SCORE  (1 to 5)</t>
  </si>
  <si>
    <t xml:space="preserve">Same eight-dimension formula the Load Board uses.</t>
  </si>
  <si>
    <t xml:space="preserve">The example filled in is the reconciled trip (L-18) at its settled figures — 1,098 paid miles and $2,986.43, not the app estimate.</t>
  </si>
  <si>
    <t xml:space="preserve">DOCUMENTED EXCEPTION — RELATIONSHIP CAPITAL</t>
  </si>
  <si>
    <t xml:space="preserve">L-07 (Maize KS to Sikeston MO) was refused by three drivers before it was offered a fourth time and accepted. It scores below threshold on</t>
  </si>
  <si>
    <t xml:space="preserve">securement burden and rate. Accepting it was still correct: dispatch discretion over future load quality is worth more than the margin lost on</t>
  </si>
  <si>
    <t xml:space="preserve">one trip.</t>
  </si>
  <si>
    <t xml:space="preserve">A weighted average cannot price that. It is handled as a stated exception — below-threshold loads may be accepted where they buy dispatch</t>
  </si>
  <si>
    <t xml:space="preserve">goodwill, and each instance is logged so the pattern stays visible and the exception does not quietly become the rule.</t>
  </si>
  <si>
    <t xml:space="preserve">TESTING AGAINST RETROSPECTIVE RATINGS</t>
  </si>
  <si>
    <t xml:space="preserve">What this is and is not: the 18 loads were all accepted, and the operator scored them after delivery. This compares model output to retrospective quality ratings. It is not a test against accept-or-decline decisions.</t>
  </si>
  <si>
    <t xml:space="preserve">SAMPLE</t>
  </si>
  <si>
    <t xml:space="preserve">Loads</t>
  </si>
  <si>
    <t xml:space="preserve">Total revenue</t>
  </si>
  <si>
    <t xml:space="preserve">Prime app trip history.</t>
  </si>
  <si>
    <t xml:space="preserve">Blended gross $/mile</t>
  </si>
  <si>
    <t xml:space="preserve">Statement YTD reads $2.163. See Settlement Recon.</t>
  </si>
  <si>
    <t xml:space="preserve">Blended net $/mile after all-in cost</t>
  </si>
  <si>
    <t xml:space="preserve">Statement YTD net is $1.240. Sample runs higher: five of eighteen loads are light freight at 10 mpg.</t>
  </si>
  <si>
    <t xml:space="preserve">Empty miles as a share of total.</t>
  </si>
  <si>
    <t xml:space="preserve">DOES THE MODEL AGREE WITH THE OPERATOR RATINGS?</t>
  </si>
  <si>
    <t xml:space="preserve">Correlation — operator score vs. gross $/mile</t>
  </si>
  <si>
    <t xml:space="preserve">Rate alone, before costing the load.</t>
  </si>
  <si>
    <t xml:space="preserve">Correlation — operator score vs. net $/mile</t>
  </si>
  <si>
    <t xml:space="preserve">Costing it properly improves the fit.</t>
  </si>
  <si>
    <t xml:space="preserve">Correlation — operator score vs. model score</t>
  </si>
  <si>
    <t xml:space="preserve">The full weighted model against post-delivery ratings.</t>
  </si>
  <si>
    <t xml:space="preserve">   Variance explained</t>
  </si>
  <si>
    <t xml:space="preserve">Share of the variance in the ratings, not in any decision.</t>
  </si>
  <si>
    <t xml:space="preserve">Mean operator score (1-10 scale)</t>
  </si>
  <si>
    <t xml:space="preserve">Mean model score, rescaled to 10</t>
  </si>
  <si>
    <t xml:space="preserve">Level gap</t>
  </si>
  <si>
    <t xml:space="preserve">The operator rates leniently: 8.5 average on a scale where 10 means everything lined up.</t>
  </si>
  <si>
    <t xml:space="preserve">WHERE MODEL AND RATINGS LINE UP</t>
  </si>
  <si>
    <t xml:space="preserve">Lowest four by operator rating</t>
  </si>
  <si>
    <t xml:space="preserve">L-06, L-12, L-10, L-01</t>
  </si>
  <si>
    <t xml:space="preserve">Lowest four by model score</t>
  </si>
  <si>
    <t xml:space="preserve">L-11, L-06, L-10, L-07</t>
  </si>
  <si>
    <t xml:space="preserve">Highest four by operator rating</t>
  </si>
  <si>
    <t xml:space="preserve">L-04, L-08, L-13, L-14</t>
  </si>
  <si>
    <t xml:space="preserve">Highest four by model score</t>
  </si>
  <si>
    <t xml:space="preserve">L-13, L-16, L-03, L-04</t>
  </si>
  <si>
    <t xml:space="preserve">Two of the lowest four overlap and two of the highest four overlap. L-06 is the only load both place at the bottom, and it is the clearest</t>
  </si>
  <si>
    <t xml:space="preserve">case in the sample: $1.42 gross per mile against a linehaul near $0.95, with fuel surcharge carrying a third of the revenue.</t>
  </si>
  <si>
    <t xml:space="preserve">The disagreements teach more than the overlaps. L-14 and L-08 both rated 10 and both sit in the model's bottom half. L-14 routed home to</t>
  </si>
  <si>
    <t xml:space="preserve">Apollo Beach. L-08 was 2,500 lb of strut that ran 11 mpg and cleared the receiver in under thirty minutes. L-07 the model scores below the</t>
  </si>
  <si>
    <t xml:space="preserve">decline threshold; it was refused by three other drivers before being accepted deliberately to bank dispatch goodwill.</t>
  </si>
  <si>
    <t xml:space="preserve">Net dollars per mile taken alone correlates at 0.62, better than the full eight-dimension model at 0.56. Adding the judgment dimensions, at</t>
  </si>
  <si>
    <t xml:space="preserve">these weights, moved agreement with the ratings slightly in the wrong direction. That is reported rather than tuned away: with eighteen</t>
  </si>
  <si>
    <t xml:space="preserve">observations, adjusting weights until the correlation improves is fitting noise.</t>
  </si>
  <si>
    <t xml:space="preserve">What this exercise does not show is whether the model would have caught a load worth refusing. Every load in the sample was accepted, so</t>
  </si>
  <si>
    <t xml:space="preserve">the decline side has never been exercised. No claim is made about it.</t>
  </si>
  <si>
    <t xml:space="preserve">THREATS TO VALIDITY</t>
  </si>
  <si>
    <t xml:space="preserve">No decline data at all. All 18 loads were accepted. The model has never been scored against an offer that was refused, so nothing here speaks</t>
  </si>
  <si>
    <t xml:space="preserve">to whether it would catch a bad load before the fact. Statements about it "rejecting weak loads" would be unsupported and are not made.</t>
  </si>
  <si>
    <t xml:space="preserve">Logging declined offers is the single highest-value next step.</t>
  </si>
  <si>
    <t xml:space="preserve">Ratings are retrospective, not decisions. Every operator score was assigned after delivery, so outcome leaks into it. L-12 is the clearest case:</t>
  </si>
  <si>
    <t xml:space="preserve">marked 5, then revised to 7 on reflection once a $220 citation unrelated to the load decision was set aside. Correlating against these ratings</t>
  </si>
  <si>
    <t xml:space="preserve">measures agreement with a post-hoc quality judgement, not with a decision made under uncertainty.</t>
  </si>
  <si>
    <t xml:space="preserve">Mileage basis. Seventeen loads use app-estimated mileage and are unverified. One load checked against a settlement differed by 5.3% on total</t>
  </si>
  <si>
    <t xml:space="preserve">miles and $35.40 on revenue. A single observation cannot establish a pattern, and none has been assumed.</t>
  </si>
  <si>
    <t xml:space="preserve">Estimated hours. Drive hours derive from an assumed 52 mph, not ELD records; dwell hours come from recall. Both feed the time dimension, which</t>
  </si>
  <si>
    <t xml:space="preserve">carries 15% weight.</t>
  </si>
  <si>
    <t xml:space="preserve">In-sample calibration. The rate and time bands were cut from the observed distribution of these same 18 loads. A correlation reported against the</t>
  </si>
  <si>
    <t xml:space="preserve">sample that set the thresholds is optimistic by construction.</t>
  </si>
  <si>
    <t xml:space="preserve">Small n. Eighteen loads, one equipment type, one carrier, one operator. The weights are reasoned, not fitted.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</si>
</sst>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0"/>
    <numFmt numFmtId="166" formatCode="0.0"/>
    <numFmt numFmtId="167" formatCode="0.000"/>
    <numFmt numFmtId="168" formatCode="0"/>
    <numFmt numFmtId="169" formatCode="#,##0"/>
    <numFmt numFmtId="170" formatCode="\$#,##0"/>
    <numFmt numFmtId="171" formatCode="\$#,##0.0000"/>
    <numFmt numFmtId="172" formatCode="0%"/>
    <numFmt numFmtId="173" formatCode="0.00"/>
    <numFmt numFmtId="174" formatCode="\$#,##0.00"/>
    <numFmt numFmtId="175" formatCode="0.0%"/>
    <numFmt numFmtId="176" formatCode="\+0.00;\-0.00;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5B6573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2020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B6573"/>
      <name val="Arial"/>
      <family val="0"/>
      <charset val="1"/>
    </font>
    <font>
      <b val="true"/>
      <sz val="10"/>
      <color rgb="FF20202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20202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2020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F6E64"/>
      <name val="Arial"/>
      <family val="0"/>
      <charset val="1"/>
    </font>
    <font>
      <i val="true"/>
      <sz val="9"/>
      <color rgb="FF5B6573"/>
      <name val="Arial"/>
      <family val="0"/>
      <charset val="1"/>
    </font>
    <font>
      <b val="true"/>
      <sz val="11"/>
      <color rgb="FF20202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4"/>
      <color rgb="FF20202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5F9"/>
      </patternFill>
    </fill>
    <fill>
      <patternFill patternType="solid">
        <fgColor rgb="FFF2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64"/>
      <rgbColor rgb="FFC0C0C0"/>
      <rgbColor rgb="FF808080"/>
      <rgbColor rgb="FF9999FF"/>
      <rgbColor rgb="FF993366"/>
      <rgbColor rgb="FFFFF2CC"/>
      <rgbColor rgb="FFF2F5F9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020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B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122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5" t="s">
        <v>9</v>
      </c>
    </row>
    <row r="14" customFormat="false" ht="15" hidden="false" customHeight="true" outlineLevel="0" collapsed="false">
      <c r="B14" s="5" t="s">
        <v>10</v>
      </c>
    </row>
    <row r="15" customFormat="false" ht="15" hidden="false" customHeight="true" outlineLevel="0" collapsed="false">
      <c r="B15" s="5"/>
    </row>
    <row r="16" customFormat="false" ht="15" hidden="false" customHeight="true" outlineLevel="0" collapsed="false">
      <c r="B16" s="5" t="s">
        <v>11</v>
      </c>
    </row>
    <row r="17" customFormat="false" ht="15" hidden="false" customHeight="true" outlineLevel="0" collapsed="false">
      <c r="B17" s="5" t="s">
        <v>12</v>
      </c>
    </row>
    <row r="19" customFormat="false" ht="15" hidden="false" customHeight="true" outlineLevel="0" collapsed="false">
      <c r="B19" s="4" t="s">
        <v>13</v>
      </c>
    </row>
    <row r="20" customFormat="false" ht="15" hidden="false" customHeight="true" outlineLevel="0" collapsed="false">
      <c r="B20" s="5" t="s">
        <v>14</v>
      </c>
    </row>
    <row r="21" customFormat="false" ht="15" hidden="false" customHeight="true" outlineLevel="0" collapsed="false">
      <c r="B21" s="5" t="s">
        <v>15</v>
      </c>
    </row>
    <row r="22" customFormat="false" ht="15" hidden="false" customHeight="true" outlineLevel="0" collapsed="false">
      <c r="B22" s="5" t="s">
        <v>16</v>
      </c>
    </row>
    <row r="23" customFormat="false" ht="15" hidden="false" customHeight="true" outlineLevel="0" collapsed="false">
      <c r="B23" s="5" t="s">
        <v>17</v>
      </c>
    </row>
    <row r="24" customFormat="false" ht="15" hidden="false" customHeight="true" outlineLevel="0" collapsed="false">
      <c r="B24" s="5"/>
    </row>
    <row r="25" customFormat="false" ht="15" hidden="false" customHeight="true" outlineLevel="0" collapsed="false">
      <c r="B25" s="5" t="s">
        <v>18</v>
      </c>
    </row>
    <row r="26" customFormat="false" ht="15" hidden="false" customHeight="true" outlineLevel="0" collapsed="false">
      <c r="B26" s="5" t="s">
        <v>19</v>
      </c>
    </row>
    <row r="27" customFormat="false" ht="15" hidden="false" customHeight="true" outlineLevel="0" collapsed="false">
      <c r="B27" s="5"/>
    </row>
    <row r="28" customFormat="false" ht="15" hidden="false" customHeight="true" outlineLevel="0" collapsed="false">
      <c r="B28" s="5" t="s">
        <v>20</v>
      </c>
    </row>
    <row r="29" customFormat="false" ht="15" hidden="false" customHeight="true" outlineLevel="0" collapsed="false">
      <c r="B29" s="5" t="s">
        <v>21</v>
      </c>
    </row>
    <row r="31" customFormat="false" ht="15" hidden="false" customHeight="true" outlineLevel="0" collapsed="false">
      <c r="B31" s="4" t="s">
        <v>22</v>
      </c>
    </row>
    <row r="32" customFormat="false" ht="15" hidden="false" customHeight="true" outlineLevel="0" collapsed="false">
      <c r="B32" s="5" t="s">
        <v>23</v>
      </c>
    </row>
    <row r="33" customFormat="false" ht="15" hidden="false" customHeight="true" outlineLevel="0" collapsed="false">
      <c r="B33" s="5"/>
    </row>
    <row r="34" customFormat="false" ht="15" hidden="false" customHeight="true" outlineLevel="0" collapsed="false">
      <c r="B34" s="5" t="s">
        <v>24</v>
      </c>
    </row>
    <row r="35" customFormat="false" ht="15" hidden="false" customHeight="true" outlineLevel="0" collapsed="false">
      <c r="B35" s="5" t="s">
        <v>25</v>
      </c>
    </row>
    <row r="36" customFormat="false" ht="15" hidden="false" customHeight="true" outlineLevel="0" collapsed="false">
      <c r="B36" s="5" t="s">
        <v>26</v>
      </c>
    </row>
    <row r="37" customFormat="false" ht="15" hidden="false" customHeight="true" outlineLevel="0" collapsed="false">
      <c r="B37" s="5" t="s">
        <v>27</v>
      </c>
    </row>
    <row r="38" customFormat="false" ht="15" hidden="false" customHeight="true" outlineLevel="0" collapsed="false">
      <c r="B38" s="5"/>
    </row>
    <row r="39" customFormat="false" ht="15" hidden="false" customHeight="true" outlineLevel="0" collapsed="false">
      <c r="B39" s="5" t="s">
        <v>28</v>
      </c>
    </row>
    <row r="40" customFormat="false" ht="15" hidden="false" customHeight="true" outlineLevel="0" collapsed="false">
      <c r="B40" s="5" t="s">
        <v>29</v>
      </c>
    </row>
    <row r="41" customFormat="false" ht="15" hidden="false" customHeight="true" outlineLevel="0" collapsed="false">
      <c r="B41" s="5" t="s">
        <v>30</v>
      </c>
    </row>
    <row r="43" customFormat="false" ht="15" hidden="false" customHeight="true" outlineLevel="0" collapsed="false">
      <c r="B43" s="4" t="s">
        <v>31</v>
      </c>
    </row>
    <row r="44" customFormat="false" ht="15" hidden="false" customHeight="true" outlineLevel="0" collapsed="false">
      <c r="B44" s="5" t="s">
        <v>32</v>
      </c>
    </row>
    <row r="45" customFormat="false" ht="15" hidden="false" customHeight="true" outlineLevel="0" collapsed="false">
      <c r="B45" s="5" t="s">
        <v>33</v>
      </c>
    </row>
    <row r="46" customFormat="false" ht="15" hidden="false" customHeight="true" outlineLevel="0" collapsed="false">
      <c r="B46" s="5" t="s">
        <v>34</v>
      </c>
    </row>
    <row r="47" customFormat="false" ht="15" hidden="false" customHeight="true" outlineLevel="0" collapsed="false">
      <c r="B47" s="5" t="s">
        <v>35</v>
      </c>
    </row>
    <row r="49" customFormat="false" ht="15" hidden="false" customHeight="true" outlineLevel="0" collapsed="false">
      <c r="B49" s="4" t="s">
        <v>36</v>
      </c>
    </row>
    <row r="50" customFormat="false" ht="15" hidden="false" customHeight="true" outlineLevel="0" collapsed="false">
      <c r="B50" s="5" t="s">
        <v>37</v>
      </c>
    </row>
    <row r="51" customFormat="false" ht="15" hidden="false" customHeight="true" outlineLevel="0" collapsed="false">
      <c r="B51" s="5" t="s">
        <v>38</v>
      </c>
    </row>
    <row r="52" customFormat="false" ht="15" hidden="false" customHeight="true" outlineLevel="0" collapsed="false">
      <c r="B52" s="5" t="s">
        <v>39</v>
      </c>
    </row>
    <row r="53" customFormat="false" ht="15" hidden="false" customHeight="true" outlineLevel="0" collapsed="false">
      <c r="B53" s="5" t="s">
        <v>40</v>
      </c>
    </row>
    <row r="54" customFormat="false" ht="15" hidden="false" customHeight="true" outlineLevel="0" collapsed="false">
      <c r="B54" s="5" t="s">
        <v>41</v>
      </c>
    </row>
    <row r="56" customFormat="false" ht="15" hidden="false" customHeight="true" outlineLevel="0" collapsed="false">
      <c r="B56" s="4" t="s">
        <v>42</v>
      </c>
    </row>
    <row r="57" customFormat="false" ht="15" hidden="false" customHeight="true" outlineLevel="0" collapsed="false">
      <c r="B57" s="5" t="s">
        <v>43</v>
      </c>
    </row>
    <row r="59" customFormat="false" ht="15" hidden="false" customHeight="true" outlineLevel="0" collapsed="false">
      <c r="B59" s="4" t="s">
        <v>44</v>
      </c>
    </row>
    <row r="60" customFormat="false" ht="15" hidden="false" customHeight="true" outlineLevel="0" collapsed="false">
      <c r="B60" s="3" t="s">
        <v>45</v>
      </c>
    </row>
    <row r="61" customFormat="false" ht="15" hidden="false" customHeight="true" outlineLevel="0" collapsed="false">
      <c r="B61" s="3" t="s">
        <v>46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E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4"/>
    <col collapsed="false" customWidth="true" hidden="false" outlineLevel="0" max="3" min="3" style="1" width="13"/>
    <col collapsed="false" customWidth="true" hidden="false" outlineLevel="0" max="4" min="4" style="1" width="104"/>
  </cols>
  <sheetData>
    <row r="2" customFormat="false" ht="19.5" hidden="false" customHeight="true" outlineLevel="0" collapsed="false">
      <c r="B2" s="2" t="s">
        <v>47</v>
      </c>
    </row>
    <row r="3" customFormat="false" ht="15" hidden="false" customHeight="true" outlineLevel="0" collapsed="false">
      <c r="B3" s="3" t="s">
        <v>48</v>
      </c>
    </row>
    <row r="5" customFormat="false" ht="15" hidden="false" customHeight="true" outlineLevel="0" collapsed="false">
      <c r="B5" s="6" t="s">
        <v>49</v>
      </c>
      <c r="C5" s="7"/>
      <c r="D5" s="7"/>
      <c r="E5" s="7"/>
    </row>
    <row r="6" customFormat="false" ht="15" hidden="false" customHeight="true" outlineLevel="0" collapsed="false">
      <c r="B6" s="8" t="s">
        <v>50</v>
      </c>
      <c r="C6" s="9" t="n">
        <v>4.933</v>
      </c>
      <c r="D6" s="10" t="s">
        <v>51</v>
      </c>
    </row>
    <row r="7" customFormat="false" ht="15" hidden="false" customHeight="true" outlineLevel="0" collapsed="false">
      <c r="B7" s="8" t="s">
        <v>52</v>
      </c>
      <c r="C7" s="9" t="n">
        <v>0.857</v>
      </c>
      <c r="D7" s="10" t="s">
        <v>53</v>
      </c>
    </row>
    <row r="8" customFormat="false" ht="15" hidden="false" customHeight="true" outlineLevel="0" collapsed="false">
      <c r="B8" s="11" t="s">
        <v>54</v>
      </c>
      <c r="C8" s="12" t="n">
        <f aca="false">C6-C7</f>
        <v>4.076</v>
      </c>
      <c r="D8" s="10" t="s">
        <v>55</v>
      </c>
    </row>
    <row r="9" customFormat="false" ht="15" hidden="false" customHeight="true" outlineLevel="0" collapsed="false">
      <c r="B9" s="8" t="s">
        <v>56</v>
      </c>
      <c r="C9" s="13" t="n">
        <v>7</v>
      </c>
      <c r="D9" s="10" t="s">
        <v>57</v>
      </c>
    </row>
    <row r="10" customFormat="false" ht="15" hidden="false" customHeight="true" outlineLevel="0" collapsed="false">
      <c r="B10" s="8" t="s">
        <v>58</v>
      </c>
      <c r="C10" s="13" t="n">
        <v>8.5</v>
      </c>
      <c r="D10" s="10" t="s">
        <v>59</v>
      </c>
    </row>
    <row r="11" customFormat="false" ht="15" hidden="false" customHeight="true" outlineLevel="0" collapsed="false">
      <c r="B11" s="8" t="s">
        <v>60</v>
      </c>
      <c r="C11" s="13" t="n">
        <v>10</v>
      </c>
      <c r="D11" s="10" t="s">
        <v>61</v>
      </c>
    </row>
    <row r="13" customFormat="false" ht="15" hidden="false" customHeight="true" outlineLevel="0" collapsed="false">
      <c r="B13" s="6" t="s">
        <v>62</v>
      </c>
      <c r="C13" s="7"/>
      <c r="D13" s="7"/>
      <c r="E13" s="7"/>
    </row>
    <row r="14" customFormat="false" ht="15" hidden="false" customHeight="true" outlineLevel="0" collapsed="false">
      <c r="B14" s="8" t="s">
        <v>63</v>
      </c>
      <c r="C14" s="14" t="n">
        <v>0.023</v>
      </c>
      <c r="D14" s="10" t="s">
        <v>64</v>
      </c>
    </row>
    <row r="15" customFormat="false" ht="15" hidden="false" customHeight="true" outlineLevel="0" collapsed="false">
      <c r="B15" s="8" t="s">
        <v>65</v>
      </c>
      <c r="C15" s="14" t="n">
        <v>0.007</v>
      </c>
      <c r="D15" s="10" t="s">
        <v>66</v>
      </c>
    </row>
    <row r="16" customFormat="false" ht="15" hidden="false" customHeight="true" outlineLevel="0" collapsed="false">
      <c r="B16" s="8" t="s">
        <v>67</v>
      </c>
      <c r="C16" s="14" t="n">
        <v>0.12</v>
      </c>
      <c r="D16" s="10" t="s">
        <v>68</v>
      </c>
    </row>
    <row r="17" customFormat="false" ht="15" hidden="false" customHeight="true" outlineLevel="0" collapsed="false">
      <c r="B17" s="8" t="s">
        <v>69</v>
      </c>
      <c r="C17" s="14" t="n">
        <v>0.045</v>
      </c>
      <c r="D17" s="10" t="s">
        <v>70</v>
      </c>
    </row>
    <row r="18" customFormat="false" ht="15" hidden="false" customHeight="true" outlineLevel="0" collapsed="false">
      <c r="B18" s="8" t="s">
        <v>71</v>
      </c>
      <c r="C18" s="14" t="n">
        <v>0.045</v>
      </c>
      <c r="D18" s="10" t="s">
        <v>72</v>
      </c>
    </row>
    <row r="19" customFormat="false" ht="15" hidden="false" customHeight="true" outlineLevel="0" collapsed="false">
      <c r="B19" s="11" t="s">
        <v>73</v>
      </c>
      <c r="C19" s="15" t="n">
        <f aca="false">SUM(C14:C18)</f>
        <v>0.24</v>
      </c>
      <c r="D19" s="10" t="s">
        <v>74</v>
      </c>
    </row>
    <row r="21" customFormat="false" ht="15" hidden="false" customHeight="true" outlineLevel="0" collapsed="false">
      <c r="B21" s="6" t="s">
        <v>75</v>
      </c>
      <c r="C21" s="7"/>
      <c r="D21" s="7"/>
      <c r="E21" s="7"/>
    </row>
    <row r="22" customFormat="false" ht="15" hidden="false" customHeight="true" outlineLevel="0" collapsed="false">
      <c r="B22" s="8" t="s">
        <v>76</v>
      </c>
      <c r="C22" s="16" t="n">
        <v>44</v>
      </c>
      <c r="D22" s="10" t="s">
        <v>77</v>
      </c>
    </row>
    <row r="23" customFormat="false" ht="15" hidden="false" customHeight="true" outlineLevel="0" collapsed="false">
      <c r="B23" s="8" t="s">
        <v>78</v>
      </c>
      <c r="C23" s="17" t="n">
        <v>2600</v>
      </c>
      <c r="D23" s="10" t="s">
        <v>79</v>
      </c>
    </row>
    <row r="24" customFormat="false" ht="15" hidden="false" customHeight="true" outlineLevel="0" collapsed="false">
      <c r="B24" s="11" t="s">
        <v>80</v>
      </c>
      <c r="C24" s="18" t="n">
        <f aca="false">C22*C23</f>
        <v>114400</v>
      </c>
      <c r="D24" s="10" t="s">
        <v>81</v>
      </c>
    </row>
    <row r="25" customFormat="false" ht="15" hidden="false" customHeight="true" outlineLevel="0" collapsed="false">
      <c r="B25" s="8" t="s">
        <v>82</v>
      </c>
      <c r="C25" s="19" t="n">
        <v>0</v>
      </c>
      <c r="D25" s="10" t="s">
        <v>83</v>
      </c>
    </row>
    <row r="26" customFormat="false" ht="15" hidden="false" customHeight="true" outlineLevel="0" collapsed="false">
      <c r="B26" s="8" t="s">
        <v>84</v>
      </c>
      <c r="C26" s="19" t="n">
        <v>6163</v>
      </c>
      <c r="D26" s="10" t="s">
        <v>85</v>
      </c>
    </row>
    <row r="27" customFormat="false" ht="15" hidden="false" customHeight="true" outlineLevel="0" collapsed="false">
      <c r="B27" s="8" t="s">
        <v>86</v>
      </c>
      <c r="C27" s="19" t="n">
        <v>2830</v>
      </c>
      <c r="D27" s="10" t="s">
        <v>87</v>
      </c>
    </row>
    <row r="28" customFormat="false" ht="15" hidden="false" customHeight="true" outlineLevel="0" collapsed="false">
      <c r="B28" s="8" t="s">
        <v>88</v>
      </c>
      <c r="C28" s="19" t="n">
        <v>1617</v>
      </c>
      <c r="D28" s="10" t="s">
        <v>89</v>
      </c>
    </row>
    <row r="29" customFormat="false" ht="15" hidden="false" customHeight="true" outlineLevel="0" collapsed="false">
      <c r="B29" s="8" t="s">
        <v>90</v>
      </c>
      <c r="C29" s="19" t="n">
        <v>2123</v>
      </c>
      <c r="D29" s="10" t="s">
        <v>91</v>
      </c>
    </row>
    <row r="30" customFormat="false" ht="15" hidden="false" customHeight="true" outlineLevel="0" collapsed="false">
      <c r="B30" s="11" t="s">
        <v>92</v>
      </c>
      <c r="C30" s="15" t="n">
        <f aca="false">(C25+C26+C27+C28+C29)/C24</f>
        <v>0.111302447552448</v>
      </c>
      <c r="D30" s="10" t="s">
        <v>93</v>
      </c>
    </row>
    <row r="32" customFormat="false" ht="15" hidden="false" customHeight="true" outlineLevel="0" collapsed="false">
      <c r="B32" s="6" t="s">
        <v>94</v>
      </c>
      <c r="C32" s="7"/>
      <c r="D32" s="7"/>
      <c r="E32" s="7"/>
    </row>
    <row r="33" customFormat="false" ht="15" hidden="false" customHeight="true" outlineLevel="0" collapsed="false">
      <c r="B33" s="11" t="s">
        <v>95</v>
      </c>
      <c r="C33" s="12" t="n">
        <f aca="false">C8/C9+C19+C30</f>
        <v>0.933588161838162</v>
      </c>
      <c r="D33" s="10" t="s">
        <v>96</v>
      </c>
    </row>
    <row r="34" customFormat="false" ht="15" hidden="false" customHeight="true" outlineLevel="0" collapsed="false">
      <c r="B34" s="11" t="s">
        <v>97</v>
      </c>
      <c r="C34" s="12" t="n">
        <f aca="false">C8/C10+C19+C30</f>
        <v>0.830831859317153</v>
      </c>
      <c r="D34" s="10"/>
    </row>
    <row r="35" customFormat="false" ht="15" hidden="false" customHeight="true" outlineLevel="0" collapsed="false">
      <c r="B35" s="11" t="s">
        <v>98</v>
      </c>
      <c r="C35" s="12" t="n">
        <f aca="false">C8/C11+C19+C30</f>
        <v>0.758902447552448</v>
      </c>
      <c r="D35" s="10"/>
    </row>
    <row r="37" customFormat="false" ht="15" hidden="false" customHeight="true" outlineLevel="0" collapsed="false">
      <c r="B37" s="11" t="s">
        <v>99</v>
      </c>
      <c r="C37" s="12" t="n">
        <f aca="false">33600/C24</f>
        <v>0.293706293706294</v>
      </c>
      <c r="D37" s="10" t="s">
        <v>100</v>
      </c>
    </row>
    <row r="38" customFormat="false" ht="15" hidden="false" customHeight="true" outlineLevel="0" collapsed="false">
      <c r="B38" s="11" t="s">
        <v>101</v>
      </c>
      <c r="C38" s="20" t="n">
        <f aca="false">'Load Board'!J23*C37</f>
        <v>5643.27272727273</v>
      </c>
      <c r="D38" s="10" t="s">
        <v>102</v>
      </c>
    </row>
    <row r="39" customFormat="false" ht="15" hidden="false" customHeight="true" outlineLevel="0" collapsed="false">
      <c r="B39" s="11" t="s">
        <v>103</v>
      </c>
      <c r="C39" s="20" t="n">
        <f aca="false">C37*56752</f>
        <v>16668.4195804196</v>
      </c>
      <c r="D39" s="10" t="s">
        <v>104</v>
      </c>
    </row>
    <row r="41" customFormat="false" ht="15" hidden="false" customHeight="true" outlineLevel="0" collapsed="false">
      <c r="B41" s="21" t="s">
        <v>105</v>
      </c>
    </row>
    <row r="42" customFormat="false" ht="15" hidden="false" customHeight="true" outlineLevel="0" collapsed="false">
      <c r="B42" s="22" t="s">
        <v>106</v>
      </c>
      <c r="C42" s="22" t="s">
        <v>107</v>
      </c>
      <c r="D42" s="23" t="s">
        <v>108</v>
      </c>
    </row>
    <row r="43" customFormat="false" ht="15" hidden="false" customHeight="true" outlineLevel="0" collapsed="false">
      <c r="B43" s="24" t="n">
        <v>98000</v>
      </c>
      <c r="C43" s="25" t="n">
        <f aca="false">($C$25+$C$26+$C$27+$C$28+$C$29)/B43</f>
        <v>0.129928571428571</v>
      </c>
      <c r="D43" s="26" t="str">
        <f aca="false">TEXT($C$8/$C$9+$C$19+C43,"$0.000")&amp;"   —   a year like the one after the baby was born"</f>
        <v>$0.952   —   a year like the one after the baby was born</v>
      </c>
    </row>
    <row r="44" customFormat="false" ht="15" hidden="false" customHeight="true" outlineLevel="0" collapsed="false">
      <c r="B44" s="24" t="n">
        <v>101057</v>
      </c>
      <c r="C44" s="25" t="n">
        <f aca="false">($C$25+$C$26+$C$27+$C$28+$C$29)/B44</f>
        <v>0.125998199036188</v>
      </c>
      <c r="D44" s="26" t="str">
        <f aca="false">TEXT($C$8/$C$9+$C$19+C44,"$0.000")&amp;"   —   the raw lifetime average — includes that year, so it understates a normal one"</f>
        <v>$0.948   —   the raw lifetime average — includes that year, so it understates a normal one</v>
      </c>
    </row>
    <row r="45" customFormat="false" ht="15" hidden="false" customHeight="true" outlineLevel="0" collapsed="false">
      <c r="B45" s="18" t="n">
        <v>114400</v>
      </c>
      <c r="C45" s="27" t="n">
        <f aca="false">($C$25+$C$26+$C$27+$C$28+$C$29)/B45</f>
        <v>0.111302447552448</v>
      </c>
      <c r="D45" s="28" t="str">
        <f aca="false">TEXT($C$8/$C$9+$C$19+C45,"$0.000")&amp;"   —   MODEL DEFAULT — 44 working weeks at 2,600 miles"</f>
        <v>$0.934   —   MODEL DEFAULT — 44 working weeks at 2,600 miles</v>
      </c>
    </row>
    <row r="46" customFormat="false" ht="15" hidden="false" customHeight="true" outlineLevel="0" collapsed="false">
      <c r="B46" s="24" t="n">
        <v>132000</v>
      </c>
      <c r="C46" s="25" t="n">
        <f aca="false">($C$25+$C$26+$C$27+$C$28+$C$29)/B46</f>
        <v>0.0964621212121212</v>
      </c>
      <c r="D46" s="26" t="str">
        <f aca="false">TEXT($C$8/$C$9+$C$19+C46,"$0.000")&amp;"   —   44 weeks at 3,000, the top of the operator-reported range"</f>
        <v>$0.919   —   44 weeks at 3,000, the top of the operator-reported range</v>
      </c>
    </row>
    <row r="48" customFormat="false" ht="15" hidden="false" customHeight="true" outlineLevel="0" collapsed="false">
      <c r="B48" s="6" t="s">
        <v>109</v>
      </c>
      <c r="C48" s="7"/>
      <c r="D48" s="7"/>
      <c r="E48" s="7"/>
    </row>
    <row r="49" customFormat="false" ht="15" hidden="false" customHeight="true" outlineLevel="0" collapsed="false">
      <c r="B49" s="8" t="s">
        <v>110</v>
      </c>
      <c r="C49" s="29" t="n">
        <v>0.35</v>
      </c>
      <c r="D49" s="10" t="s">
        <v>111</v>
      </c>
    </row>
    <row r="50" customFormat="false" ht="15" hidden="false" customHeight="true" outlineLevel="0" collapsed="false">
      <c r="B50" s="8" t="s">
        <v>112</v>
      </c>
      <c r="C50" s="30" t="n">
        <v>3.75</v>
      </c>
      <c r="D50" s="10" t="s">
        <v>113</v>
      </c>
    </row>
    <row r="51" customFormat="false" ht="15" hidden="false" customHeight="true" outlineLevel="0" collapsed="false">
      <c r="B51" s="8" t="s">
        <v>114</v>
      </c>
      <c r="C51" s="30" t="n">
        <v>3</v>
      </c>
      <c r="D51" s="10" t="s">
        <v>115</v>
      </c>
    </row>
    <row r="52" customFormat="false" ht="15" hidden="false" customHeight="true" outlineLevel="0" collapsed="false">
      <c r="B52" s="8" t="s">
        <v>116</v>
      </c>
      <c r="C52" s="19" t="n">
        <v>4500</v>
      </c>
      <c r="D52" s="10" t="s">
        <v>117</v>
      </c>
    </row>
    <row r="53" customFormat="false" ht="15" hidden="false" customHeight="true" outlineLevel="0" collapsed="false">
      <c r="B53" s="8" t="s">
        <v>118</v>
      </c>
      <c r="C53" s="16" t="n">
        <v>52</v>
      </c>
      <c r="D53" s="10" t="s">
        <v>119</v>
      </c>
    </row>
    <row r="55" customFormat="false" ht="15" hidden="false" customHeight="true" outlineLevel="0" collapsed="false">
      <c r="B55" s="4" t="s">
        <v>120</v>
      </c>
    </row>
    <row r="56" customFormat="false" ht="15" hidden="false" customHeight="true" outlineLevel="0" collapsed="false">
      <c r="B56" s="10" t="s">
        <v>121</v>
      </c>
    </row>
    <row r="57" customFormat="false" ht="15" hidden="false" customHeight="true" outlineLevel="0" collapsed="false">
      <c r="B57" s="10" t="s">
        <v>122</v>
      </c>
    </row>
    <row r="58" customFormat="false" ht="15" hidden="false" customHeight="true" outlineLevel="0" collapsed="false">
      <c r="B58" s="10"/>
    </row>
    <row r="59" customFormat="false" ht="15" hidden="false" customHeight="true" outlineLevel="0" collapsed="false">
      <c r="B59" s="10" t="s">
        <v>123</v>
      </c>
    </row>
    <row r="60" customFormat="false" ht="15" hidden="false" customHeight="true" outlineLevel="0" collapsed="false">
      <c r="B60" s="10" t="s">
        <v>124</v>
      </c>
    </row>
    <row r="61" customFormat="false" ht="15" hidden="false" customHeight="true" outlineLevel="0" collapsed="false">
      <c r="B61" s="10" t="s">
        <v>125</v>
      </c>
    </row>
    <row r="62" customFormat="false" ht="15" hidden="false" customHeight="true" outlineLevel="0" collapsed="false">
      <c r="B62" s="10"/>
    </row>
    <row r="63" customFormat="false" ht="15" hidden="false" customHeight="true" outlineLevel="0" collapsed="false">
      <c r="B63" s="10" t="s">
        <v>126</v>
      </c>
    </row>
    <row r="64" customFormat="false" ht="15" hidden="false" customHeight="true" outlineLevel="0" collapsed="false">
      <c r="B64" s="10" t="s">
        <v>127</v>
      </c>
    </row>
    <row r="65" customFormat="false" ht="15" hidden="false" customHeight="true" outlineLevel="0" collapsed="false">
      <c r="B65" s="10" t="s">
        <v>128</v>
      </c>
    </row>
    <row r="67" customFormat="false" ht="15" hidden="false" customHeight="true" outlineLevel="0" collapsed="false">
      <c r="B67" s="4" t="s">
        <v>129</v>
      </c>
    </row>
    <row r="68" customFormat="false" ht="15" hidden="false" customHeight="true" outlineLevel="0" collapsed="false">
      <c r="B68" s="10" t="s">
        <v>130</v>
      </c>
    </row>
    <row r="69" customFormat="false" ht="15" hidden="false" customHeight="true" outlineLevel="0" collapsed="false">
      <c r="B69" s="10" t="s">
        <v>131</v>
      </c>
    </row>
    <row r="70" customFormat="false" ht="15" hidden="false" customHeight="true" outlineLevel="0" collapsed="false">
      <c r="B70" s="10" t="s">
        <v>132</v>
      </c>
    </row>
    <row r="71" customFormat="false" ht="15" hidden="false" customHeight="true" outlineLevel="0" collapsed="false">
      <c r="B71" s="10" t="s">
        <v>133</v>
      </c>
    </row>
    <row r="72" customFormat="false" ht="15" hidden="false" customHeight="true" outlineLevel="0" collapsed="false">
      <c r="B72" s="10"/>
    </row>
    <row r="73" customFormat="false" ht="15" hidden="false" customHeight="true" outlineLevel="0" collapsed="false">
      <c r="B73" s="10" t="s">
        <v>134</v>
      </c>
    </row>
    <row r="74" customFormat="false" ht="15" hidden="false" customHeight="true" outlineLevel="0" collapsed="false">
      <c r="B74" s="10" t="s">
        <v>135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A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8"/>
    <col collapsed="false" customWidth="true" hidden="false" outlineLevel="0" max="3" min="3" style="1" width="17"/>
    <col collapsed="false" customWidth="true" hidden="false" outlineLevel="0" max="4" min="4" style="1" width="24"/>
    <col collapsed="false" customWidth="true" hidden="false" outlineLevel="0" max="5" min="5" style="1" width="26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13" min="9" style="1" width="9"/>
    <col collapsed="false" customWidth="true" hidden="false" outlineLevel="0" max="14" min="14" style="1" width="11"/>
    <col collapsed="false" customWidth="true" hidden="false" outlineLevel="0" max="15" min="15" style="1" width="9"/>
    <col collapsed="false" customWidth="true" hidden="false" outlineLevel="0" max="18" min="16" style="1" width="10"/>
    <col collapsed="false" customWidth="true" hidden="false" outlineLevel="0" max="20" min="19" style="1" width="11"/>
    <col collapsed="false" customWidth="true" hidden="false" outlineLevel="0" max="22" min="21" style="1" width="10"/>
    <col collapsed="false" customWidth="true" hidden="false" outlineLevel="0" max="23" min="23" style="1" width="8"/>
    <col collapsed="false" customWidth="true" hidden="false" outlineLevel="0" max="26" min="24" style="1" width="7"/>
    <col collapsed="false" customWidth="true" hidden="false" outlineLevel="0" max="27" min="27" style="1" width="6"/>
    <col collapsed="false" customWidth="true" hidden="false" outlineLevel="0" max="28" min="28" style="1" width="7"/>
    <col collapsed="false" customWidth="true" hidden="false" outlineLevel="0" max="29" min="29" style="1" width="8"/>
    <col collapsed="false" customWidth="true" hidden="false" outlineLevel="0" max="30" min="30" style="1" width="7"/>
    <col collapsed="false" customWidth="true" hidden="false" outlineLevel="0" max="31" min="31" style="1" width="6"/>
    <col collapsed="false" customWidth="true" hidden="false" outlineLevel="0" max="32" min="32" style="1" width="10"/>
    <col collapsed="false" customWidth="true" hidden="false" outlineLevel="0" max="33" min="33" style="1" width="8"/>
    <col collapsed="false" customWidth="true" hidden="false" outlineLevel="0" max="34" min="34" style="1" width="16"/>
    <col collapsed="false" customWidth="true" hidden="false" outlineLevel="0" max="35" min="35" style="1" width="9"/>
    <col collapsed="false" customWidth="true" hidden="false" outlineLevel="0" max="36" min="36" style="1" width="8"/>
  </cols>
  <sheetData>
    <row r="1" customFormat="false" ht="17.25" hidden="false" customHeight="true" outlineLevel="0" collapsed="false">
      <c r="B1" s="31" t="s">
        <v>136</v>
      </c>
    </row>
    <row r="2" customFormat="false" ht="15" hidden="false" customHeight="true" outlineLevel="0" collapsed="false">
      <c r="B2" s="10" t="s">
        <v>137</v>
      </c>
    </row>
    <row r="3" customFormat="false" ht="30" hidden="false" customHeight="true" outlineLevel="0" collapsed="false">
      <c r="B3" s="32" t="s">
        <v>138</v>
      </c>
      <c r="C3" s="32" t="s">
        <v>139</v>
      </c>
      <c r="D3" s="32" t="s">
        <v>140</v>
      </c>
      <c r="E3" s="32" t="s">
        <v>141</v>
      </c>
      <c r="F3" s="32" t="s">
        <v>142</v>
      </c>
      <c r="G3" s="32" t="s">
        <v>143</v>
      </c>
      <c r="H3" s="32" t="s">
        <v>144</v>
      </c>
      <c r="I3" s="32" t="s">
        <v>145</v>
      </c>
      <c r="J3" s="32" t="s">
        <v>146</v>
      </c>
      <c r="K3" s="32" t="s">
        <v>147</v>
      </c>
      <c r="L3" s="32" t="s">
        <v>148</v>
      </c>
      <c r="M3" s="32" t="s">
        <v>149</v>
      </c>
      <c r="N3" s="32" t="s">
        <v>150</v>
      </c>
      <c r="O3" s="32" t="s">
        <v>151</v>
      </c>
      <c r="P3" s="32" t="s">
        <v>152</v>
      </c>
      <c r="Q3" s="32" t="s">
        <v>153</v>
      </c>
      <c r="R3" s="32" t="s">
        <v>154</v>
      </c>
      <c r="S3" s="32" t="s">
        <v>155</v>
      </c>
      <c r="T3" s="32" t="s">
        <v>156</v>
      </c>
      <c r="U3" s="32" t="s">
        <v>157</v>
      </c>
      <c r="V3" s="32" t="s">
        <v>158</v>
      </c>
      <c r="W3" s="32" t="s">
        <v>159</v>
      </c>
      <c r="X3" s="32" t="s">
        <v>160</v>
      </c>
      <c r="Y3" s="32" t="s">
        <v>161</v>
      </c>
      <c r="Z3" s="32" t="s">
        <v>162</v>
      </c>
      <c r="AA3" s="32" t="s">
        <v>163</v>
      </c>
      <c r="AB3" s="32" t="s">
        <v>164</v>
      </c>
      <c r="AC3" s="32" t="s">
        <v>165</v>
      </c>
      <c r="AD3" s="32" t="s">
        <v>166</v>
      </c>
      <c r="AE3" s="32" t="s">
        <v>167</v>
      </c>
      <c r="AF3" s="32" t="s">
        <v>168</v>
      </c>
      <c r="AG3" s="32" t="s">
        <v>169</v>
      </c>
      <c r="AH3" s="32" t="s">
        <v>170</v>
      </c>
      <c r="AI3" s="32" t="s">
        <v>171</v>
      </c>
      <c r="AJ3" s="32" t="s">
        <v>172</v>
      </c>
    </row>
    <row r="4" customFormat="false" ht="15" hidden="false" customHeight="true" outlineLevel="0" collapsed="false">
      <c r="B4" s="33" t="s">
        <v>173</v>
      </c>
      <c r="C4" s="33" t="s">
        <v>174</v>
      </c>
      <c r="D4" s="33" t="s">
        <v>175</v>
      </c>
      <c r="E4" s="33" t="s">
        <v>176</v>
      </c>
      <c r="F4" s="34" t="s">
        <v>177</v>
      </c>
      <c r="G4" s="35" t="n">
        <v>1599.11</v>
      </c>
      <c r="H4" s="36" t="n">
        <v>558</v>
      </c>
      <c r="I4" s="36" t="n">
        <v>212</v>
      </c>
      <c r="J4" s="37" t="n">
        <f aca="false">H4+I4</f>
        <v>770</v>
      </c>
      <c r="K4" s="38" t="n">
        <f aca="false">J4/Assumptions!$C$53</f>
        <v>14.8076923076923</v>
      </c>
      <c r="L4" s="39" t="n">
        <v>2</v>
      </c>
      <c r="M4" s="40" t="n">
        <f aca="false">K4+L4</f>
        <v>16.8076923076923</v>
      </c>
      <c r="N4" s="41" t="n">
        <f aca="false">IFERROR(G4/J4,0)</f>
        <v>2.07676623376623</v>
      </c>
      <c r="O4" s="38" t="n">
        <f aca="false">IF(F4="Heavy",Assumptions!$C$9,IF(F4="Medium",Assumptions!$C$10,Assumptions!$C$11))</f>
        <v>8.5</v>
      </c>
      <c r="P4" s="42" t="n">
        <f aca="false">J4/O4*Assumptions!$C$8</f>
        <v>369.237647058824</v>
      </c>
      <c r="Q4" s="42" t="n">
        <f aca="false">J4*Assumptions!$C$19</f>
        <v>184.8</v>
      </c>
      <c r="R4" s="42" t="n">
        <f aca="false">J4*Assumptions!$C$30</f>
        <v>85.7028846153846</v>
      </c>
      <c r="S4" s="42" t="n">
        <f aca="false">P4+Q4+R4</f>
        <v>639.740531674208</v>
      </c>
      <c r="T4" s="42" t="n">
        <f aca="false">G4-S4</f>
        <v>959.369468325792</v>
      </c>
      <c r="U4" s="41" t="n">
        <f aca="false">IFERROR(T4/J4,0)</f>
        <v>1.24593437444908</v>
      </c>
      <c r="V4" s="42" t="n">
        <f aca="false">IFERROR(T4/M4,0)</f>
        <v>57.079190335173</v>
      </c>
      <c r="W4" s="43" t="n">
        <f aca="false">IFERROR(I4/J4,0)</f>
        <v>0.275324675324675</v>
      </c>
      <c r="X4" s="44" t="n">
        <f aca="false">IF(U4&gt;=RATE5,5,IF(U4&gt;=RATE4,4,IF(U4&gt;=RATE3,3,IF(U4&gt;=RATE2,2,1))))</f>
        <v>3</v>
      </c>
      <c r="Y4" s="34" t="n">
        <v>4</v>
      </c>
      <c r="Z4" s="44" t="n">
        <f aca="false">IF(V4&gt;=TIME5,5,IF(V4&gt;=TIME4,4,IF(V4&gt;=TIME3,3,IF(V4&gt;=TIME2,2,1))))</f>
        <v>3</v>
      </c>
      <c r="AA4" s="44" t="n">
        <f aca="false">IF(W4&lt;=0.05,5,IF(W4&lt;=0.1,4,IF(W4&lt;=0.18,3,IF(W4&lt;=0.28,2,1))))</f>
        <v>2</v>
      </c>
      <c r="AB4" s="34" t="n">
        <v>4</v>
      </c>
      <c r="AC4" s="34" t="n">
        <v>5</v>
      </c>
      <c r="AD4" s="34" t="n">
        <v>4</v>
      </c>
      <c r="AE4" s="34" t="n">
        <v>5</v>
      </c>
      <c r="AF4" s="45" t="n">
        <f aca="false">X4*WRATE+Y4*WDEST+Z4*WTIME+AA4*WDH+AB4*WDWELL+AC4*WSEC+AD4*WROUTE+AE4*WHOS</f>
        <v>3.5</v>
      </c>
      <c r="AG4" s="44" t="str">
        <f aca="false">IF(OR(T4&lt;0,W4&gt;Assumptions!$C$49,AE4&lt;=1),"FAIL","PASS")</f>
        <v>PASS</v>
      </c>
      <c r="AH4" s="46" t="str">
        <f aca="false">IF(AG4="FAIL","DECLINE - gate",IF(AF4&gt;=Assumptions!$C$50,"ACCEPT",IF(AF4&gt;=Assumptions!$C$51,"NEGOTIATE","DECLINE - score")))</f>
        <v>NEGOTIATE</v>
      </c>
      <c r="AI4" s="34" t="n">
        <v>8</v>
      </c>
      <c r="AJ4" s="47" t="n">
        <f aca="false">AF4*2-AI4</f>
        <v>-0.999999999999999</v>
      </c>
    </row>
    <row r="5" customFormat="false" ht="15" hidden="false" customHeight="true" outlineLevel="0" collapsed="false">
      <c r="B5" s="33" t="s">
        <v>178</v>
      </c>
      <c r="C5" s="33" t="s">
        <v>179</v>
      </c>
      <c r="D5" s="33" t="s">
        <v>180</v>
      </c>
      <c r="E5" s="33" t="s">
        <v>181</v>
      </c>
      <c r="F5" s="34" t="s">
        <v>182</v>
      </c>
      <c r="G5" s="35" t="n">
        <v>2870.62</v>
      </c>
      <c r="H5" s="36" t="n">
        <v>1312</v>
      </c>
      <c r="I5" s="36" t="n">
        <v>24</v>
      </c>
      <c r="J5" s="37" t="n">
        <f aca="false">H5+I5</f>
        <v>1336</v>
      </c>
      <c r="K5" s="38" t="n">
        <f aca="false">J5/Assumptions!$C$53</f>
        <v>25.6923076923077</v>
      </c>
      <c r="L5" s="39" t="n">
        <v>1</v>
      </c>
      <c r="M5" s="40" t="n">
        <f aca="false">K5+L5</f>
        <v>26.6923076923077</v>
      </c>
      <c r="N5" s="41" t="n">
        <f aca="false">IFERROR(G5/J5,0)</f>
        <v>2.14866766467066</v>
      </c>
      <c r="O5" s="38" t="n">
        <f aca="false">IF(F5="Heavy",Assumptions!$C$9,IF(F5="Medium",Assumptions!$C$10,Assumptions!$C$11))</f>
        <v>10</v>
      </c>
      <c r="P5" s="42" t="n">
        <f aca="false">J5/O5*Assumptions!$C$8</f>
        <v>544.5536</v>
      </c>
      <c r="Q5" s="42" t="n">
        <f aca="false">J5*Assumptions!$C$19</f>
        <v>320.64</v>
      </c>
      <c r="R5" s="42" t="n">
        <f aca="false">J5*Assumptions!$C$30</f>
        <v>148.70006993007</v>
      </c>
      <c r="S5" s="42" t="n">
        <f aca="false">P5+Q5+R5</f>
        <v>1013.89366993007</v>
      </c>
      <c r="T5" s="42" t="n">
        <f aca="false">G5-S5</f>
        <v>1856.72633006993</v>
      </c>
      <c r="U5" s="41" t="n">
        <f aca="false">IFERROR(T5/J5,0)</f>
        <v>1.38976521711821</v>
      </c>
      <c r="V5" s="42" t="n">
        <f aca="false">IFERROR(T5/M5,0)</f>
        <v>69.5603524233691</v>
      </c>
      <c r="W5" s="43" t="n">
        <f aca="false">IFERROR(I5/J5,0)</f>
        <v>0.0179640718562874</v>
      </c>
      <c r="X5" s="44" t="n">
        <f aca="false">IF(U5&gt;=RATE5,5,IF(U5&gt;=RATE4,4,IF(U5&gt;=RATE3,3,IF(U5&gt;=RATE2,2,1))))</f>
        <v>3</v>
      </c>
      <c r="Y5" s="34" t="n">
        <v>4</v>
      </c>
      <c r="Z5" s="44" t="n">
        <f aca="false">IF(V5&gt;=TIME5,5,IF(V5&gt;=TIME4,4,IF(V5&gt;=TIME3,3,IF(V5&gt;=TIME2,2,1))))</f>
        <v>4</v>
      </c>
      <c r="AA5" s="44" t="n">
        <f aca="false">IF(W5&lt;=0.05,5,IF(W5&lt;=0.1,4,IF(W5&lt;=0.18,3,IF(W5&lt;=0.28,2,1))))</f>
        <v>5</v>
      </c>
      <c r="AB5" s="34" t="n">
        <v>5</v>
      </c>
      <c r="AC5" s="34" t="n">
        <v>5</v>
      </c>
      <c r="AD5" s="34" t="n">
        <v>4</v>
      </c>
      <c r="AE5" s="34" t="n">
        <v>5</v>
      </c>
      <c r="AF5" s="45" t="n">
        <f aca="false">X5*WRATE+Y5*WDEST+Z5*WTIME+AA5*WDH+AB5*WDWELL+AC5*WSEC+AD5*WROUTE+AE5*WHOS</f>
        <v>4.05</v>
      </c>
      <c r="AG5" s="44" t="str">
        <f aca="false">IF(OR(T5&lt;0,W5&gt;Assumptions!$C$49,AE5&lt;=1),"FAIL","PASS")</f>
        <v>PASS</v>
      </c>
      <c r="AH5" s="46" t="str">
        <f aca="false">IF(AG5="FAIL","DECLINE - gate",IF(AF5&gt;=Assumptions!$C$50,"ACCEPT",IF(AF5&gt;=Assumptions!$C$51,"NEGOTIATE","DECLINE - score")))</f>
        <v>ACCEPT</v>
      </c>
      <c r="AI5" s="34" t="n">
        <v>9</v>
      </c>
      <c r="AJ5" s="47" t="n">
        <f aca="false">AF5*2-AI5</f>
        <v>-0.899999999999999</v>
      </c>
    </row>
    <row r="6" customFormat="false" ht="15" hidden="false" customHeight="true" outlineLevel="0" collapsed="false">
      <c r="B6" s="33" t="s">
        <v>183</v>
      </c>
      <c r="C6" s="33" t="s">
        <v>184</v>
      </c>
      <c r="D6" s="33" t="s">
        <v>185</v>
      </c>
      <c r="E6" s="33" t="s">
        <v>186</v>
      </c>
      <c r="F6" s="34" t="s">
        <v>187</v>
      </c>
      <c r="G6" s="35" t="n">
        <v>3833.03</v>
      </c>
      <c r="H6" s="36" t="n">
        <v>1489</v>
      </c>
      <c r="I6" s="36" t="n">
        <v>132</v>
      </c>
      <c r="J6" s="37" t="n">
        <f aca="false">H6+I6</f>
        <v>1621</v>
      </c>
      <c r="K6" s="38" t="n">
        <f aca="false">J6/Assumptions!$C$53</f>
        <v>31.1730769230769</v>
      </c>
      <c r="L6" s="39" t="n">
        <v>1</v>
      </c>
      <c r="M6" s="40" t="n">
        <f aca="false">K6+L6</f>
        <v>32.1730769230769</v>
      </c>
      <c r="N6" s="41" t="n">
        <f aca="false">IFERROR(G6/J6,0)</f>
        <v>2.36460826650216</v>
      </c>
      <c r="O6" s="38" t="n">
        <f aca="false">IF(F6="Heavy",Assumptions!$C$9,IF(F6="Medium",Assumptions!$C$10,Assumptions!$C$11))</f>
        <v>7</v>
      </c>
      <c r="P6" s="42" t="n">
        <f aca="false">J6/O6*Assumptions!$C$8</f>
        <v>943.885142857143</v>
      </c>
      <c r="Q6" s="42" t="n">
        <f aca="false">J6*Assumptions!$C$19</f>
        <v>389.04</v>
      </c>
      <c r="R6" s="42" t="n">
        <f aca="false">J6*Assumptions!$C$30</f>
        <v>180.421267482518</v>
      </c>
      <c r="S6" s="42" t="n">
        <f aca="false">P6+Q6+R6</f>
        <v>1513.34641033966</v>
      </c>
      <c r="T6" s="42" t="n">
        <f aca="false">G6-S6</f>
        <v>2319.68358966034</v>
      </c>
      <c r="U6" s="41" t="n">
        <f aca="false">IFERROR(T6/J6,0)</f>
        <v>1.431020104664</v>
      </c>
      <c r="V6" s="42" t="n">
        <f aca="false">IFERROR(T6/M6,0)</f>
        <v>72.1001474371415</v>
      </c>
      <c r="W6" s="43" t="n">
        <f aca="false">IFERROR(I6/J6,0)</f>
        <v>0.081431215299198</v>
      </c>
      <c r="X6" s="44" t="n">
        <f aca="false">IF(U6&gt;=RATE5,5,IF(U6&gt;=RATE4,4,IF(U6&gt;=RATE3,3,IF(U6&gt;=RATE2,2,1))))</f>
        <v>4</v>
      </c>
      <c r="Y6" s="34" t="n">
        <v>5</v>
      </c>
      <c r="Z6" s="44" t="n">
        <f aca="false">IF(V6&gt;=TIME5,5,IF(V6&gt;=TIME4,4,IF(V6&gt;=TIME3,3,IF(V6&gt;=TIME2,2,1))))</f>
        <v>4</v>
      </c>
      <c r="AA6" s="44" t="n">
        <f aca="false">IF(W6&lt;=0.05,5,IF(W6&lt;=0.1,4,IF(W6&lt;=0.18,3,IF(W6&lt;=0.28,2,1))))</f>
        <v>4</v>
      </c>
      <c r="AB6" s="34" t="n">
        <v>5</v>
      </c>
      <c r="AC6" s="34" t="n">
        <v>5</v>
      </c>
      <c r="AD6" s="34" t="n">
        <v>3</v>
      </c>
      <c r="AE6" s="34" t="n">
        <v>5</v>
      </c>
      <c r="AF6" s="45" t="n">
        <f aca="false">X6*WRATE+Y6*WDEST+Z6*WTIME+AA6*WDH+AB6*WDWELL+AC6*WSEC+AD6*WROUTE+AE6*WHOS</f>
        <v>4.4</v>
      </c>
      <c r="AG6" s="44" t="str">
        <f aca="false">IF(OR(T6&lt;0,W6&gt;Assumptions!$C$49,AE6&lt;=1),"FAIL","PASS")</f>
        <v>PASS</v>
      </c>
      <c r="AH6" s="46" t="str">
        <f aca="false">IF(AG6="FAIL","DECLINE - gate",IF(AF6&gt;=Assumptions!$C$50,"ACCEPT",IF(AF6&gt;=Assumptions!$C$51,"NEGOTIATE","DECLINE - score")))</f>
        <v>ACCEPT</v>
      </c>
      <c r="AI6" s="34" t="n">
        <v>8</v>
      </c>
      <c r="AJ6" s="47" t="n">
        <f aca="false">AF6*2-AI6</f>
        <v>0.800000000000001</v>
      </c>
    </row>
    <row r="7" customFormat="false" ht="15" hidden="false" customHeight="true" outlineLevel="0" collapsed="false">
      <c r="B7" s="33" t="s">
        <v>188</v>
      </c>
      <c r="C7" s="33" t="s">
        <v>189</v>
      </c>
      <c r="D7" s="33" t="s">
        <v>190</v>
      </c>
      <c r="E7" s="33" t="s">
        <v>191</v>
      </c>
      <c r="F7" s="34" t="s">
        <v>187</v>
      </c>
      <c r="G7" s="35" t="n">
        <v>2326.74</v>
      </c>
      <c r="H7" s="36" t="n">
        <v>675</v>
      </c>
      <c r="I7" s="36" t="n">
        <v>249</v>
      </c>
      <c r="J7" s="37" t="n">
        <f aca="false">H7+I7</f>
        <v>924</v>
      </c>
      <c r="K7" s="38" t="n">
        <f aca="false">J7/Assumptions!$C$53</f>
        <v>17.7692307692308</v>
      </c>
      <c r="L7" s="39" t="n">
        <v>2</v>
      </c>
      <c r="M7" s="40" t="n">
        <f aca="false">K7+L7</f>
        <v>19.7692307692308</v>
      </c>
      <c r="N7" s="41" t="n">
        <f aca="false">IFERROR(G7/J7,0)</f>
        <v>2.51811688311688</v>
      </c>
      <c r="O7" s="38" t="n">
        <f aca="false">IF(F7="Heavy",Assumptions!$C$9,IF(F7="Medium",Assumptions!$C$10,Assumptions!$C$11))</f>
        <v>7</v>
      </c>
      <c r="P7" s="42" t="n">
        <f aca="false">J7/O7*Assumptions!$C$8</f>
        <v>538.032</v>
      </c>
      <c r="Q7" s="42" t="n">
        <f aca="false">J7*Assumptions!$C$19</f>
        <v>221.76</v>
      </c>
      <c r="R7" s="42" t="n">
        <f aca="false">J7*Assumptions!$C$30</f>
        <v>102.843461538462</v>
      </c>
      <c r="S7" s="42" t="n">
        <f aca="false">P7+Q7+R7</f>
        <v>862.635461538461</v>
      </c>
      <c r="T7" s="42" t="n">
        <f aca="false">G7-S7</f>
        <v>1464.10453846154</v>
      </c>
      <c r="U7" s="41" t="n">
        <f aca="false">IFERROR(T7/J7,0)</f>
        <v>1.58452872127872</v>
      </c>
      <c r="V7" s="42" t="n">
        <f aca="false">IFERROR(T7/M7,0)</f>
        <v>74.0597626459144</v>
      </c>
      <c r="W7" s="43" t="n">
        <f aca="false">IFERROR(I7/J7,0)</f>
        <v>0.26948051948052</v>
      </c>
      <c r="X7" s="44" t="n">
        <f aca="false">IF(U7&gt;=RATE5,5,IF(U7&gt;=RATE4,4,IF(U7&gt;=RATE3,3,IF(U7&gt;=RATE2,2,1))))</f>
        <v>5</v>
      </c>
      <c r="Y7" s="34" t="n">
        <v>4</v>
      </c>
      <c r="Z7" s="44" t="n">
        <f aca="false">IF(V7&gt;=TIME5,5,IF(V7&gt;=TIME4,4,IF(V7&gt;=TIME3,3,IF(V7&gt;=TIME2,2,1))))</f>
        <v>5</v>
      </c>
      <c r="AA7" s="44" t="n">
        <f aca="false">IF(W7&lt;=0.05,5,IF(W7&lt;=0.1,4,IF(W7&lt;=0.18,3,IF(W7&lt;=0.28,2,1))))</f>
        <v>2</v>
      </c>
      <c r="AB7" s="34" t="n">
        <v>5</v>
      </c>
      <c r="AC7" s="34" t="n">
        <v>5</v>
      </c>
      <c r="AD7" s="34" t="n">
        <v>4</v>
      </c>
      <c r="AE7" s="34" t="n">
        <v>5</v>
      </c>
      <c r="AF7" s="45" t="n">
        <f aca="false">X7*WRATE+Y7*WDEST+Z7*WTIME+AA7*WDH+AB7*WDWELL+AC7*WSEC+AD7*WROUTE+AE7*WHOS</f>
        <v>4.4</v>
      </c>
      <c r="AG7" s="44" t="str">
        <f aca="false">IF(OR(T7&lt;0,W7&gt;Assumptions!$C$49,AE7&lt;=1),"FAIL","PASS")</f>
        <v>PASS</v>
      </c>
      <c r="AH7" s="46" t="str">
        <f aca="false">IF(AG7="FAIL","DECLINE - gate",IF(AF7&gt;=Assumptions!$C$50,"ACCEPT",IF(AF7&gt;=Assumptions!$C$51,"NEGOTIATE","DECLINE - score")))</f>
        <v>ACCEPT</v>
      </c>
      <c r="AI7" s="34" t="n">
        <v>10</v>
      </c>
      <c r="AJ7" s="47" t="n">
        <f aca="false">AF7*2-AI7</f>
        <v>-1.2</v>
      </c>
    </row>
    <row r="8" customFormat="false" ht="15" hidden="false" customHeight="true" outlineLevel="0" collapsed="false">
      <c r="B8" s="33" t="s">
        <v>192</v>
      </c>
      <c r="C8" s="33" t="s">
        <v>193</v>
      </c>
      <c r="D8" s="33" t="s">
        <v>194</v>
      </c>
      <c r="E8" s="33" t="s">
        <v>195</v>
      </c>
      <c r="F8" s="34" t="s">
        <v>187</v>
      </c>
      <c r="G8" s="35" t="n">
        <v>2996.35</v>
      </c>
      <c r="H8" s="36" t="n">
        <v>1205</v>
      </c>
      <c r="I8" s="36" t="n">
        <v>46</v>
      </c>
      <c r="J8" s="37" t="n">
        <f aca="false">H8+I8</f>
        <v>1251</v>
      </c>
      <c r="K8" s="38" t="n">
        <f aca="false">J8/Assumptions!$C$53</f>
        <v>24.0576923076923</v>
      </c>
      <c r="L8" s="39" t="n">
        <v>1.5</v>
      </c>
      <c r="M8" s="40" t="n">
        <f aca="false">K8+L8</f>
        <v>25.5576923076923</v>
      </c>
      <c r="N8" s="41" t="n">
        <f aca="false">IFERROR(G8/J8,0)</f>
        <v>2.39516386890488</v>
      </c>
      <c r="O8" s="38" t="n">
        <f aca="false">IF(F8="Heavy",Assumptions!$C$9,IF(F8="Medium",Assumptions!$C$10,Assumptions!$C$11))</f>
        <v>7</v>
      </c>
      <c r="P8" s="42" t="n">
        <f aca="false">J8/O8*Assumptions!$C$8</f>
        <v>728.439428571429</v>
      </c>
      <c r="Q8" s="42" t="n">
        <f aca="false">J8*Assumptions!$C$19</f>
        <v>300.24</v>
      </c>
      <c r="R8" s="42" t="n">
        <f aca="false">J8*Assumptions!$C$30</f>
        <v>139.239361888112</v>
      </c>
      <c r="S8" s="42" t="n">
        <f aca="false">P8+Q8+R8</f>
        <v>1167.91879045954</v>
      </c>
      <c r="T8" s="42" t="n">
        <f aca="false">G8-S8</f>
        <v>1828.43120954046</v>
      </c>
      <c r="U8" s="41" t="n">
        <f aca="false">IFERROR(T8/J8,0)</f>
        <v>1.46157570706671</v>
      </c>
      <c r="V8" s="42" t="n">
        <f aca="false">IFERROR(T8/M8,0)</f>
        <v>71.5413264831482</v>
      </c>
      <c r="W8" s="43" t="n">
        <f aca="false">IFERROR(I8/J8,0)</f>
        <v>0.0367705835331735</v>
      </c>
      <c r="X8" s="44" t="n">
        <f aca="false">IF(U8&gt;=RATE5,5,IF(U8&gt;=RATE4,4,IF(U8&gt;=RATE3,3,IF(U8&gt;=RATE2,2,1))))</f>
        <v>4</v>
      </c>
      <c r="Y8" s="34" t="n">
        <v>4</v>
      </c>
      <c r="Z8" s="44" t="n">
        <f aca="false">IF(V8&gt;=TIME5,5,IF(V8&gt;=TIME4,4,IF(V8&gt;=TIME3,3,IF(V8&gt;=TIME2,2,1))))</f>
        <v>4</v>
      </c>
      <c r="AA8" s="44" t="n">
        <f aca="false">IF(W8&lt;=0.05,5,IF(W8&lt;=0.1,4,IF(W8&lt;=0.18,3,IF(W8&lt;=0.28,2,1))))</f>
        <v>5</v>
      </c>
      <c r="AB8" s="34" t="n">
        <v>4</v>
      </c>
      <c r="AC8" s="34" t="n">
        <v>3</v>
      </c>
      <c r="AD8" s="34" t="n">
        <v>3</v>
      </c>
      <c r="AE8" s="34" t="n">
        <v>5</v>
      </c>
      <c r="AF8" s="45" t="n">
        <f aca="false">X8*WRATE+Y8*WDEST+Z8*WTIME+AA8*WDH+AB8*WDWELL+AC8*WSEC+AD8*WROUTE+AE8*WHOS</f>
        <v>4.05</v>
      </c>
      <c r="AG8" s="44" t="str">
        <f aca="false">IF(OR(T8&lt;0,W8&gt;Assumptions!$C$49,AE8&lt;=1),"FAIL","PASS")</f>
        <v>PASS</v>
      </c>
      <c r="AH8" s="46" t="str">
        <f aca="false">IF(AG8="FAIL","DECLINE - gate",IF(AF8&gt;=Assumptions!$C$50,"ACCEPT",IF(AF8&gt;=Assumptions!$C$51,"NEGOTIATE","DECLINE - score")))</f>
        <v>ACCEPT</v>
      </c>
      <c r="AI8" s="34" t="n">
        <v>9</v>
      </c>
      <c r="AJ8" s="47" t="n">
        <f aca="false">AF8*2-AI8</f>
        <v>-0.9</v>
      </c>
    </row>
    <row r="9" customFormat="false" ht="15" hidden="false" customHeight="true" outlineLevel="0" collapsed="false">
      <c r="B9" s="33" t="s">
        <v>196</v>
      </c>
      <c r="C9" s="33" t="s">
        <v>197</v>
      </c>
      <c r="D9" s="33" t="s">
        <v>198</v>
      </c>
      <c r="E9" s="33" t="s">
        <v>199</v>
      </c>
      <c r="F9" s="34" t="s">
        <v>187</v>
      </c>
      <c r="G9" s="35" t="n">
        <v>963.84</v>
      </c>
      <c r="H9" s="36" t="n">
        <v>529</v>
      </c>
      <c r="I9" s="36" t="n">
        <v>150</v>
      </c>
      <c r="J9" s="37" t="n">
        <f aca="false">H9+I9</f>
        <v>679</v>
      </c>
      <c r="K9" s="38" t="n">
        <f aca="false">J9/Assumptions!$C$53</f>
        <v>13.0576923076923</v>
      </c>
      <c r="L9" s="39" t="n">
        <v>1.5</v>
      </c>
      <c r="M9" s="40" t="n">
        <f aca="false">K9+L9</f>
        <v>14.5576923076923</v>
      </c>
      <c r="N9" s="41" t="n">
        <f aca="false">IFERROR(G9/J9,0)</f>
        <v>1.41949926362298</v>
      </c>
      <c r="O9" s="38" t="n">
        <f aca="false">IF(F9="Heavy",Assumptions!$C$9,IF(F9="Medium",Assumptions!$C$10,Assumptions!$C$11))</f>
        <v>7</v>
      </c>
      <c r="P9" s="42" t="n">
        <f aca="false">J9/O9*Assumptions!$C$8</f>
        <v>395.372</v>
      </c>
      <c r="Q9" s="42" t="n">
        <f aca="false">J9*Assumptions!$C$19</f>
        <v>162.96</v>
      </c>
      <c r="R9" s="42" t="n">
        <f aca="false">J9*Assumptions!$C$30</f>
        <v>75.5743618881119</v>
      </c>
      <c r="S9" s="42" t="n">
        <f aca="false">P9+Q9+R9</f>
        <v>633.906361888112</v>
      </c>
      <c r="T9" s="42" t="n">
        <f aca="false">G9-S9</f>
        <v>329.933638111888</v>
      </c>
      <c r="U9" s="41" t="n">
        <f aca="false">IFERROR(T9/J9,0)</f>
        <v>0.485911101784813</v>
      </c>
      <c r="V9" s="42" t="n">
        <f aca="false">IFERROR(T9/M9,0)</f>
        <v>22.6638694607902</v>
      </c>
      <c r="W9" s="43" t="n">
        <f aca="false">IFERROR(I9/J9,0)</f>
        <v>0.220913107511046</v>
      </c>
      <c r="X9" s="44" t="n">
        <f aca="false">IF(U9&gt;=RATE5,5,IF(U9&gt;=RATE4,4,IF(U9&gt;=RATE3,3,IF(U9&gt;=RATE2,2,1))))</f>
        <v>1</v>
      </c>
      <c r="Y9" s="34" t="n">
        <v>3</v>
      </c>
      <c r="Z9" s="44" t="n">
        <f aca="false">IF(V9&gt;=TIME5,5,IF(V9&gt;=TIME4,4,IF(V9&gt;=TIME3,3,IF(V9&gt;=TIME2,2,1))))</f>
        <v>1</v>
      </c>
      <c r="AA9" s="44" t="n">
        <f aca="false">IF(W9&lt;=0.05,5,IF(W9&lt;=0.1,4,IF(W9&lt;=0.18,3,IF(W9&lt;=0.28,2,1))))</f>
        <v>2</v>
      </c>
      <c r="AB9" s="34" t="n">
        <v>4</v>
      </c>
      <c r="AC9" s="34" t="n">
        <v>4</v>
      </c>
      <c r="AD9" s="34" t="n">
        <v>4</v>
      </c>
      <c r="AE9" s="34" t="n">
        <v>5</v>
      </c>
      <c r="AF9" s="45" t="n">
        <f aca="false">X9*WRATE+Y9*WDEST+Z9*WTIME+AA9*WDH+AB9*WDWELL+AC9*WSEC+AD9*WROUTE+AE9*WHOS</f>
        <v>2.4</v>
      </c>
      <c r="AG9" s="44" t="str">
        <f aca="false">IF(OR(T9&lt;0,W9&gt;Assumptions!$C$49,AE9&lt;=1),"FAIL","PASS")</f>
        <v>PASS</v>
      </c>
      <c r="AH9" s="46" t="str">
        <f aca="false">IF(AG9="FAIL","DECLINE - gate",IF(AF9&gt;=Assumptions!$C$50,"ACCEPT",IF(AF9&gt;=Assumptions!$C$51,"NEGOTIATE","DECLINE - score")))</f>
        <v>DECLINE - score</v>
      </c>
      <c r="AI9" s="34" t="n">
        <v>5</v>
      </c>
      <c r="AJ9" s="47" t="n">
        <f aca="false">AF9*2-AI9</f>
        <v>-0.2</v>
      </c>
    </row>
    <row r="10" customFormat="false" ht="15" hidden="false" customHeight="true" outlineLevel="0" collapsed="false">
      <c r="B10" s="33" t="s">
        <v>200</v>
      </c>
      <c r="C10" s="33" t="s">
        <v>201</v>
      </c>
      <c r="D10" s="33" t="s">
        <v>202</v>
      </c>
      <c r="E10" s="33" t="s">
        <v>203</v>
      </c>
      <c r="F10" s="34" t="s">
        <v>187</v>
      </c>
      <c r="G10" s="35" t="n">
        <v>1297.33</v>
      </c>
      <c r="H10" s="36" t="n">
        <v>511</v>
      </c>
      <c r="I10" s="36" t="n">
        <v>135</v>
      </c>
      <c r="J10" s="37" t="n">
        <f aca="false">H10+I10</f>
        <v>646</v>
      </c>
      <c r="K10" s="38" t="n">
        <f aca="false">J10/Assumptions!$C$53</f>
        <v>12.4230769230769</v>
      </c>
      <c r="L10" s="39" t="n">
        <v>2.5</v>
      </c>
      <c r="M10" s="40" t="n">
        <f aca="false">K10+L10</f>
        <v>14.9230769230769</v>
      </c>
      <c r="N10" s="41" t="n">
        <f aca="false">IFERROR(G10/J10,0)</f>
        <v>2.00825077399381</v>
      </c>
      <c r="O10" s="38" t="n">
        <f aca="false">IF(F10="Heavy",Assumptions!$C$9,IF(F10="Medium",Assumptions!$C$10,Assumptions!$C$11))</f>
        <v>7</v>
      </c>
      <c r="P10" s="42" t="n">
        <f aca="false">J10/O10*Assumptions!$C$8</f>
        <v>376.156571428571</v>
      </c>
      <c r="Q10" s="42" t="n">
        <f aca="false">J10*Assumptions!$C$19</f>
        <v>155.04</v>
      </c>
      <c r="R10" s="42" t="n">
        <f aca="false">J10*Assumptions!$C$30</f>
        <v>71.9013811188811</v>
      </c>
      <c r="S10" s="42" t="n">
        <f aca="false">P10+Q10+R10</f>
        <v>603.097952547453</v>
      </c>
      <c r="T10" s="42" t="n">
        <f aca="false">G10-S10</f>
        <v>694.232047452548</v>
      </c>
      <c r="U10" s="41" t="n">
        <f aca="false">IFERROR(T10/J10,0)</f>
        <v>1.07466261215565</v>
      </c>
      <c r="V10" s="42" t="n">
        <f aca="false">IFERROR(T10/M10,0)</f>
        <v>46.5207042107377</v>
      </c>
      <c r="W10" s="43" t="n">
        <f aca="false">IFERROR(I10/J10,0)</f>
        <v>0.208978328173375</v>
      </c>
      <c r="X10" s="44" t="n">
        <f aca="false">IF(U10&gt;=RATE5,5,IF(U10&gt;=RATE4,4,IF(U10&gt;=RATE3,3,IF(U10&gt;=RATE2,2,1))))</f>
        <v>2</v>
      </c>
      <c r="Y10" s="34" t="n">
        <v>4</v>
      </c>
      <c r="Z10" s="44" t="n">
        <f aca="false">IF(V10&gt;=TIME5,5,IF(V10&gt;=TIME4,4,IF(V10&gt;=TIME3,3,IF(V10&gt;=TIME2,2,1))))</f>
        <v>1</v>
      </c>
      <c r="AA10" s="44" t="n">
        <f aca="false">IF(W10&lt;=0.05,5,IF(W10&lt;=0.1,4,IF(W10&lt;=0.18,3,IF(W10&lt;=0.28,2,1))))</f>
        <v>2</v>
      </c>
      <c r="AB10" s="34" t="n">
        <v>4</v>
      </c>
      <c r="AC10" s="34" t="n">
        <v>3</v>
      </c>
      <c r="AD10" s="34" t="n">
        <v>4</v>
      </c>
      <c r="AE10" s="34" t="n">
        <v>5</v>
      </c>
      <c r="AF10" s="45" t="n">
        <f aca="false">X10*WRATE+Y10*WDEST+Z10*WTIME+AA10*WDH+AB10*WDWELL+AC10*WSEC+AD10*WROUTE+AE10*WHOS</f>
        <v>2.85</v>
      </c>
      <c r="AG10" s="44" t="str">
        <f aca="false">IF(OR(T10&lt;0,W10&gt;Assumptions!$C$49,AE10&lt;=1),"FAIL","PASS")</f>
        <v>PASS</v>
      </c>
      <c r="AH10" s="46" t="str">
        <f aca="false">IF(AG10="FAIL","DECLINE - gate",IF(AF10&gt;=Assumptions!$C$50,"ACCEPT",IF(AF10&gt;=Assumptions!$C$51,"NEGOTIATE","DECLINE - score")))</f>
        <v>DECLINE - score</v>
      </c>
      <c r="AI10" s="34" t="n">
        <v>9</v>
      </c>
      <c r="AJ10" s="47" t="n">
        <f aca="false">AF10*2-AI10</f>
        <v>-3.3</v>
      </c>
    </row>
    <row r="11" customFormat="false" ht="15" hidden="false" customHeight="true" outlineLevel="0" collapsed="false">
      <c r="B11" s="33" t="s">
        <v>204</v>
      </c>
      <c r="C11" s="33" t="s">
        <v>205</v>
      </c>
      <c r="D11" s="33" t="s">
        <v>206</v>
      </c>
      <c r="E11" s="33" t="s">
        <v>207</v>
      </c>
      <c r="F11" s="34" t="s">
        <v>182</v>
      </c>
      <c r="G11" s="35" t="n">
        <v>1802.44</v>
      </c>
      <c r="H11" s="36" t="n">
        <v>741</v>
      </c>
      <c r="I11" s="36" t="n">
        <v>165</v>
      </c>
      <c r="J11" s="37" t="n">
        <f aca="false">H11+I11</f>
        <v>906</v>
      </c>
      <c r="K11" s="38" t="n">
        <f aca="false">J11/Assumptions!$C$53</f>
        <v>17.4230769230769</v>
      </c>
      <c r="L11" s="39" t="n">
        <v>0.5</v>
      </c>
      <c r="M11" s="40" t="n">
        <f aca="false">K11+L11</f>
        <v>17.9230769230769</v>
      </c>
      <c r="N11" s="41" t="n">
        <f aca="false">IFERROR(G11/J11,0)</f>
        <v>1.98944812362031</v>
      </c>
      <c r="O11" s="38" t="n">
        <f aca="false">IF(F11="Heavy",Assumptions!$C$9,IF(F11="Medium",Assumptions!$C$10,Assumptions!$C$11))</f>
        <v>10</v>
      </c>
      <c r="P11" s="42" t="n">
        <f aca="false">J11/O11*Assumptions!$C$8</f>
        <v>369.2856</v>
      </c>
      <c r="Q11" s="42" t="n">
        <f aca="false">J11*Assumptions!$C$19</f>
        <v>217.44</v>
      </c>
      <c r="R11" s="42" t="n">
        <f aca="false">J11*Assumptions!$C$30</f>
        <v>100.840017482517</v>
      </c>
      <c r="S11" s="42" t="n">
        <f aca="false">P11+Q11+R11</f>
        <v>687.565617482518</v>
      </c>
      <c r="T11" s="42" t="n">
        <f aca="false">G11-S11</f>
        <v>1114.87438251748</v>
      </c>
      <c r="U11" s="41" t="n">
        <f aca="false">IFERROR(T11/J11,0)</f>
        <v>1.23054567606786</v>
      </c>
      <c r="V11" s="42" t="n">
        <f aca="false">IFERROR(T11/M11,0)</f>
        <v>62.2032917284432</v>
      </c>
      <c r="W11" s="43" t="n">
        <f aca="false">IFERROR(I11/J11,0)</f>
        <v>0.182119205298013</v>
      </c>
      <c r="X11" s="44" t="n">
        <f aca="false">IF(U11&gt;=RATE5,5,IF(U11&gt;=RATE4,4,IF(U11&gt;=RATE3,3,IF(U11&gt;=RATE2,2,1))))</f>
        <v>3</v>
      </c>
      <c r="Y11" s="34" t="n">
        <v>4</v>
      </c>
      <c r="Z11" s="44" t="n">
        <f aca="false">IF(V11&gt;=TIME5,5,IF(V11&gt;=TIME4,4,IF(V11&gt;=TIME3,3,IF(V11&gt;=TIME2,2,1))))</f>
        <v>3</v>
      </c>
      <c r="AA11" s="44" t="n">
        <f aca="false">IF(W11&lt;=0.05,5,IF(W11&lt;=0.1,4,IF(W11&lt;=0.18,3,IF(W11&lt;=0.28,2,1))))</f>
        <v>2</v>
      </c>
      <c r="AB11" s="34" t="n">
        <v>5</v>
      </c>
      <c r="AC11" s="34" t="n">
        <v>5</v>
      </c>
      <c r="AD11" s="34" t="n">
        <v>4</v>
      </c>
      <c r="AE11" s="34" t="n">
        <v>5</v>
      </c>
      <c r="AF11" s="45" t="n">
        <f aca="false">X11*WRATE+Y11*WDEST+Z11*WTIME+AA11*WDH+AB11*WDWELL+AC11*WSEC+AD11*WROUTE+AE11*WHOS</f>
        <v>3.6</v>
      </c>
      <c r="AG11" s="44" t="str">
        <f aca="false">IF(OR(T11&lt;0,W11&gt;Assumptions!$C$49,AE11&lt;=1),"FAIL","PASS")</f>
        <v>PASS</v>
      </c>
      <c r="AH11" s="46" t="str">
        <f aca="false">IF(AG11="FAIL","DECLINE - gate",IF(AF11&gt;=Assumptions!$C$50,"ACCEPT",IF(AF11&gt;=Assumptions!$C$51,"NEGOTIATE","DECLINE - score")))</f>
        <v>NEGOTIATE</v>
      </c>
      <c r="AI11" s="34" t="n">
        <v>10</v>
      </c>
      <c r="AJ11" s="47" t="n">
        <f aca="false">AF11*2-AI11</f>
        <v>-2.8</v>
      </c>
    </row>
    <row r="12" customFormat="false" ht="15" hidden="false" customHeight="true" outlineLevel="0" collapsed="false">
      <c r="B12" s="33" t="s">
        <v>208</v>
      </c>
      <c r="C12" s="33" t="s">
        <v>209</v>
      </c>
      <c r="D12" s="33" t="s">
        <v>210</v>
      </c>
      <c r="E12" s="33" t="s">
        <v>211</v>
      </c>
      <c r="F12" s="34" t="s">
        <v>187</v>
      </c>
      <c r="G12" s="35" t="n">
        <v>1433.28</v>
      </c>
      <c r="H12" s="36" t="n">
        <v>439</v>
      </c>
      <c r="I12" s="36" t="n">
        <v>165</v>
      </c>
      <c r="J12" s="37" t="n">
        <f aca="false">H12+I12</f>
        <v>604</v>
      </c>
      <c r="K12" s="38" t="n">
        <f aca="false">J12/Assumptions!$C$53</f>
        <v>11.6153846153846</v>
      </c>
      <c r="L12" s="39" t="n">
        <v>1.5</v>
      </c>
      <c r="M12" s="40" t="n">
        <f aca="false">K12+L12</f>
        <v>13.1153846153846</v>
      </c>
      <c r="N12" s="41" t="n">
        <f aca="false">IFERROR(G12/J12,0)</f>
        <v>2.37298013245033</v>
      </c>
      <c r="O12" s="38" t="n">
        <f aca="false">IF(F12="Heavy",Assumptions!$C$9,IF(F12="Medium",Assumptions!$C$10,Assumptions!$C$11))</f>
        <v>7</v>
      </c>
      <c r="P12" s="42" t="n">
        <f aca="false">J12/O12*Assumptions!$C$8</f>
        <v>351.700571428571</v>
      </c>
      <c r="Q12" s="42" t="n">
        <f aca="false">J12*Assumptions!$C$19</f>
        <v>144.96</v>
      </c>
      <c r="R12" s="42" t="n">
        <f aca="false">J12*Assumptions!$C$30</f>
        <v>67.2266783216783</v>
      </c>
      <c r="S12" s="42" t="n">
        <f aca="false">P12+Q12+R12</f>
        <v>563.88724975025</v>
      </c>
      <c r="T12" s="42" t="n">
        <f aca="false">G12-S12</f>
        <v>869.39275024975</v>
      </c>
      <c r="U12" s="41" t="n">
        <f aca="false">IFERROR(T12/J12,0)</f>
        <v>1.43939197061217</v>
      </c>
      <c r="V12" s="42" t="n">
        <f aca="false">IFERROR(T12/M12,0)</f>
        <v>66.2880102829722</v>
      </c>
      <c r="W12" s="43" t="n">
        <f aca="false">IFERROR(I12/J12,0)</f>
        <v>0.27317880794702</v>
      </c>
      <c r="X12" s="44" t="n">
        <f aca="false">IF(U12&gt;=RATE5,5,IF(U12&gt;=RATE4,4,IF(U12&gt;=RATE3,3,IF(U12&gt;=RATE2,2,1))))</f>
        <v>4</v>
      </c>
      <c r="Y12" s="34" t="n">
        <v>4</v>
      </c>
      <c r="Z12" s="44" t="n">
        <f aca="false">IF(V12&gt;=TIME5,5,IF(V12&gt;=TIME4,4,IF(V12&gt;=TIME3,3,IF(V12&gt;=TIME2,2,1))))</f>
        <v>3</v>
      </c>
      <c r="AA12" s="44" t="n">
        <f aca="false">IF(W12&lt;=0.05,5,IF(W12&lt;=0.1,4,IF(W12&lt;=0.18,3,IF(W12&lt;=0.28,2,1))))</f>
        <v>2</v>
      </c>
      <c r="AB12" s="34" t="n">
        <v>5</v>
      </c>
      <c r="AC12" s="34" t="n">
        <v>4</v>
      </c>
      <c r="AD12" s="34" t="n">
        <v>4</v>
      </c>
      <c r="AE12" s="34" t="n">
        <v>5</v>
      </c>
      <c r="AF12" s="45" t="n">
        <f aca="false">X12*WRATE+Y12*WDEST+Z12*WTIME+AA12*WDH+AB12*WDWELL+AC12*WSEC+AD12*WROUTE+AE12*WHOS</f>
        <v>3.8</v>
      </c>
      <c r="AG12" s="44" t="str">
        <f aca="false">IF(OR(T12&lt;0,W12&gt;Assumptions!$C$49,AE12&lt;=1),"FAIL","PASS")</f>
        <v>PASS</v>
      </c>
      <c r="AH12" s="46" t="str">
        <f aca="false">IF(AG12="FAIL","DECLINE - gate",IF(AF12&gt;=Assumptions!$C$50,"ACCEPT",IF(AF12&gt;=Assumptions!$C$51,"NEGOTIATE","DECLINE - score")))</f>
        <v>ACCEPT</v>
      </c>
      <c r="AI12" s="34" t="n">
        <v>8</v>
      </c>
      <c r="AJ12" s="47" t="n">
        <f aca="false">AF12*2-AI12</f>
        <v>-0.399999999999999</v>
      </c>
    </row>
    <row r="13" customFormat="false" ht="15" hidden="false" customHeight="true" outlineLevel="0" collapsed="false">
      <c r="B13" s="33" t="s">
        <v>212</v>
      </c>
      <c r="C13" s="33" t="s">
        <v>213</v>
      </c>
      <c r="D13" s="33" t="s">
        <v>214</v>
      </c>
      <c r="E13" s="33" t="s">
        <v>215</v>
      </c>
      <c r="F13" s="34" t="s">
        <v>187</v>
      </c>
      <c r="G13" s="35" t="n">
        <v>3404.23</v>
      </c>
      <c r="H13" s="36" t="n">
        <v>1476</v>
      </c>
      <c r="I13" s="36" t="n">
        <v>201</v>
      </c>
      <c r="J13" s="37" t="n">
        <f aca="false">H13+I13</f>
        <v>1677</v>
      </c>
      <c r="K13" s="38" t="n">
        <f aca="false">J13/Assumptions!$C$53</f>
        <v>32.25</v>
      </c>
      <c r="L13" s="39" t="n">
        <v>2</v>
      </c>
      <c r="M13" s="40" t="n">
        <f aca="false">K13+L13</f>
        <v>34.25</v>
      </c>
      <c r="N13" s="41" t="n">
        <f aca="false">IFERROR(G13/J13,0)</f>
        <v>2.02995229576625</v>
      </c>
      <c r="O13" s="38" t="n">
        <f aca="false">IF(F13="Heavy",Assumptions!$C$9,IF(F13="Medium",Assumptions!$C$10,Assumptions!$C$11))</f>
        <v>7</v>
      </c>
      <c r="P13" s="42" t="n">
        <f aca="false">J13/O13*Assumptions!$C$8</f>
        <v>976.493142857143</v>
      </c>
      <c r="Q13" s="42" t="n">
        <f aca="false">J13*Assumptions!$C$19</f>
        <v>402.48</v>
      </c>
      <c r="R13" s="42" t="n">
        <f aca="false">J13*Assumptions!$C$30</f>
        <v>186.654204545455</v>
      </c>
      <c r="S13" s="42" t="n">
        <f aca="false">P13+Q13+R13</f>
        <v>1565.6273474026</v>
      </c>
      <c r="T13" s="42" t="n">
        <f aca="false">G13-S13</f>
        <v>1838.6026525974</v>
      </c>
      <c r="U13" s="41" t="n">
        <f aca="false">IFERROR(T13/J13,0)</f>
        <v>1.09636413392809</v>
      </c>
      <c r="V13" s="42" t="n">
        <f aca="false">IFERROR(T13/M13,0)</f>
        <v>53.6818292729169</v>
      </c>
      <c r="W13" s="43" t="n">
        <f aca="false">IFERROR(I13/J13,0)</f>
        <v>0.119856887298748</v>
      </c>
      <c r="X13" s="44" t="n">
        <f aca="false">IF(U13&gt;=RATE5,5,IF(U13&gt;=RATE4,4,IF(U13&gt;=RATE3,3,IF(U13&gt;=RATE2,2,1))))</f>
        <v>2</v>
      </c>
      <c r="Y13" s="34" t="n">
        <v>3</v>
      </c>
      <c r="Z13" s="44" t="n">
        <f aca="false">IF(V13&gt;=TIME5,5,IF(V13&gt;=TIME4,4,IF(V13&gt;=TIME3,3,IF(V13&gt;=TIME2,2,1))))</f>
        <v>2</v>
      </c>
      <c r="AA13" s="44" t="n">
        <f aca="false">IF(W13&lt;=0.05,5,IF(W13&lt;=0.1,4,IF(W13&lt;=0.18,3,IF(W13&lt;=0.28,2,1))))</f>
        <v>3</v>
      </c>
      <c r="AB13" s="34" t="n">
        <v>3</v>
      </c>
      <c r="AC13" s="34" t="n">
        <v>4</v>
      </c>
      <c r="AD13" s="34" t="n">
        <v>3</v>
      </c>
      <c r="AE13" s="34" t="n">
        <v>5</v>
      </c>
      <c r="AF13" s="45" t="n">
        <f aca="false">X13*WRATE+Y13*WDEST+Z13*WTIME+AA13*WDH+AB13*WDWELL+AC13*WSEC+AD13*WROUTE+AE13*WHOS</f>
        <v>2.75</v>
      </c>
      <c r="AG13" s="44" t="str">
        <f aca="false">IF(OR(T13&lt;0,W13&gt;Assumptions!$C$49,AE13&lt;=1),"FAIL","PASS")</f>
        <v>PASS</v>
      </c>
      <c r="AH13" s="46" t="str">
        <f aca="false">IF(AG13="FAIL","DECLINE - gate",IF(AF13&gt;=Assumptions!$C$50,"ACCEPT",IF(AF13&gt;=Assumptions!$C$51,"NEGOTIATE","DECLINE - score")))</f>
        <v>DECLINE - score</v>
      </c>
      <c r="AI13" s="34" t="n">
        <v>7</v>
      </c>
      <c r="AJ13" s="47" t="n">
        <f aca="false">AF13*2-AI13</f>
        <v>-1.5</v>
      </c>
    </row>
    <row r="14" customFormat="false" ht="15" hidden="false" customHeight="true" outlineLevel="0" collapsed="false">
      <c r="B14" s="33" t="s">
        <v>216</v>
      </c>
      <c r="C14" s="33" t="s">
        <v>174</v>
      </c>
      <c r="D14" s="33" t="s">
        <v>217</v>
      </c>
      <c r="E14" s="33" t="s">
        <v>218</v>
      </c>
      <c r="F14" s="34" t="s">
        <v>182</v>
      </c>
      <c r="G14" s="35" t="n">
        <v>1496.27</v>
      </c>
      <c r="H14" s="36" t="n">
        <v>612</v>
      </c>
      <c r="I14" s="36" t="n">
        <v>218</v>
      </c>
      <c r="J14" s="37" t="n">
        <f aca="false">H14+I14</f>
        <v>830</v>
      </c>
      <c r="K14" s="38" t="n">
        <f aca="false">J14/Assumptions!$C$53</f>
        <v>15.9615384615385</v>
      </c>
      <c r="L14" s="39" t="n">
        <v>1.5</v>
      </c>
      <c r="M14" s="40" t="n">
        <f aca="false">K14+L14</f>
        <v>17.4615384615385</v>
      </c>
      <c r="N14" s="41" t="n">
        <f aca="false">IFERROR(G14/J14,0)</f>
        <v>1.80273493975904</v>
      </c>
      <c r="O14" s="38" t="n">
        <f aca="false">IF(F14="Heavy",Assumptions!$C$9,IF(F14="Medium",Assumptions!$C$10,Assumptions!$C$11))</f>
        <v>10</v>
      </c>
      <c r="P14" s="42" t="n">
        <f aca="false">J14/O14*Assumptions!$C$8</f>
        <v>338.308</v>
      </c>
      <c r="Q14" s="42" t="n">
        <f aca="false">J14*Assumptions!$C$19</f>
        <v>199.2</v>
      </c>
      <c r="R14" s="42" t="n">
        <f aca="false">J14*Assumptions!$C$30</f>
        <v>92.3810314685315</v>
      </c>
      <c r="S14" s="42" t="n">
        <f aca="false">P14+Q14+R14</f>
        <v>629.889031468532</v>
      </c>
      <c r="T14" s="42" t="n">
        <f aca="false">G14-S14</f>
        <v>866.380968531469</v>
      </c>
      <c r="U14" s="41" t="n">
        <f aca="false">IFERROR(T14/J14,0)</f>
        <v>1.04383249220659</v>
      </c>
      <c r="V14" s="42" t="n">
        <f aca="false">IFERROR(T14/M14,0)</f>
        <v>49.616531237485</v>
      </c>
      <c r="W14" s="43" t="n">
        <f aca="false">IFERROR(I14/J14,0)</f>
        <v>0.262650602409639</v>
      </c>
      <c r="X14" s="44" t="n">
        <f aca="false">IF(U14&gt;=RATE5,5,IF(U14&gt;=RATE4,4,IF(U14&gt;=RATE3,3,IF(U14&gt;=RATE2,2,1))))</f>
        <v>1</v>
      </c>
      <c r="Y14" s="34" t="n">
        <v>3</v>
      </c>
      <c r="Z14" s="44" t="n">
        <f aca="false">IF(V14&gt;=TIME5,5,IF(V14&gt;=TIME4,4,IF(V14&gt;=TIME3,3,IF(V14&gt;=TIME2,2,1))))</f>
        <v>1</v>
      </c>
      <c r="AA14" s="44" t="n">
        <f aca="false">IF(W14&lt;=0.05,5,IF(W14&lt;=0.1,4,IF(W14&lt;=0.18,3,IF(W14&lt;=0.28,2,1))))</f>
        <v>2</v>
      </c>
      <c r="AB14" s="34" t="n">
        <v>4</v>
      </c>
      <c r="AC14" s="34" t="n">
        <v>4</v>
      </c>
      <c r="AD14" s="34" t="n">
        <v>3</v>
      </c>
      <c r="AE14" s="34" t="n">
        <v>5</v>
      </c>
      <c r="AF14" s="45" t="n">
        <f aca="false">X14*WRATE+Y14*WDEST+Z14*WTIME+AA14*WDH+AB14*WDWELL+AC14*WSEC+AD14*WROUTE+AE14*WHOS</f>
        <v>2.35</v>
      </c>
      <c r="AG14" s="44" t="str">
        <f aca="false">IF(OR(T14&lt;0,W14&gt;Assumptions!$C$49,AE14&lt;=1),"FAIL","PASS")</f>
        <v>PASS</v>
      </c>
      <c r="AH14" s="46" t="str">
        <f aca="false">IF(AG14="FAIL","DECLINE - gate",IF(AF14&gt;=Assumptions!$C$50,"ACCEPT",IF(AF14&gt;=Assumptions!$C$51,"NEGOTIATE","DECLINE - score")))</f>
        <v>DECLINE - score</v>
      </c>
      <c r="AI14" s="34" t="n">
        <v>8</v>
      </c>
      <c r="AJ14" s="47" t="n">
        <f aca="false">AF14*2-AI14</f>
        <v>-3.3</v>
      </c>
    </row>
    <row r="15" customFormat="false" ht="15" hidden="false" customHeight="true" outlineLevel="0" collapsed="false">
      <c r="B15" s="33" t="s">
        <v>219</v>
      </c>
      <c r="C15" s="33" t="s">
        <v>220</v>
      </c>
      <c r="D15" s="33" t="s">
        <v>221</v>
      </c>
      <c r="E15" s="33" t="s">
        <v>222</v>
      </c>
      <c r="F15" s="34" t="s">
        <v>187</v>
      </c>
      <c r="G15" s="35" t="n">
        <v>4124.08</v>
      </c>
      <c r="H15" s="36" t="n">
        <v>2044</v>
      </c>
      <c r="I15" s="36" t="n">
        <v>23</v>
      </c>
      <c r="J15" s="37" t="n">
        <f aca="false">H15+I15</f>
        <v>2067</v>
      </c>
      <c r="K15" s="38" t="n">
        <f aca="false">J15/Assumptions!$C$53</f>
        <v>39.75</v>
      </c>
      <c r="L15" s="39" t="n">
        <v>2</v>
      </c>
      <c r="M15" s="40" t="n">
        <f aca="false">K15+L15</f>
        <v>41.75</v>
      </c>
      <c r="N15" s="41" t="n">
        <f aca="false">IFERROR(G15/J15,0)</f>
        <v>1.9952007740687</v>
      </c>
      <c r="O15" s="38" t="n">
        <f aca="false">IF(F15="Heavy",Assumptions!$C$9,IF(F15="Medium",Assumptions!$C$10,Assumptions!$C$11))</f>
        <v>7</v>
      </c>
      <c r="P15" s="42" t="n">
        <f aca="false">J15/O15*Assumptions!$C$8</f>
        <v>1203.58457142857</v>
      </c>
      <c r="Q15" s="42" t="n">
        <f aca="false">J15*Assumptions!$C$19</f>
        <v>496.08</v>
      </c>
      <c r="R15" s="42" t="n">
        <f aca="false">J15*Assumptions!$C$30</f>
        <v>230.062159090909</v>
      </c>
      <c r="S15" s="42" t="n">
        <f aca="false">P15+Q15+R15</f>
        <v>1929.72673051948</v>
      </c>
      <c r="T15" s="42" t="n">
        <f aca="false">G15-S15</f>
        <v>2194.35326948052</v>
      </c>
      <c r="U15" s="41" t="n">
        <f aca="false">IFERROR(T15/J15,0)</f>
        <v>1.06161261223054</v>
      </c>
      <c r="V15" s="42" t="n">
        <f aca="false">IFERROR(T15/M15,0)</f>
        <v>52.5593597480364</v>
      </c>
      <c r="W15" s="43" t="n">
        <f aca="false">IFERROR(I15/J15,0)</f>
        <v>0.0111272375423319</v>
      </c>
      <c r="X15" s="44" t="n">
        <f aca="false">IF(U15&gt;=RATE5,5,IF(U15&gt;=RATE4,4,IF(U15&gt;=RATE3,3,IF(U15&gt;=RATE2,2,1))))</f>
        <v>2</v>
      </c>
      <c r="Y15" s="34" t="n">
        <v>4</v>
      </c>
      <c r="Z15" s="44" t="n">
        <f aca="false">IF(V15&gt;=TIME5,5,IF(V15&gt;=TIME4,4,IF(V15&gt;=TIME3,3,IF(V15&gt;=TIME2,2,1))))</f>
        <v>2</v>
      </c>
      <c r="AA15" s="44" t="n">
        <f aca="false">IF(W15&lt;=0.05,5,IF(W15&lt;=0.1,4,IF(W15&lt;=0.18,3,IF(W15&lt;=0.28,2,1))))</f>
        <v>5</v>
      </c>
      <c r="AB15" s="34" t="n">
        <v>4</v>
      </c>
      <c r="AC15" s="34" t="n">
        <v>4</v>
      </c>
      <c r="AD15" s="34" t="n">
        <v>1</v>
      </c>
      <c r="AE15" s="34" t="n">
        <v>4</v>
      </c>
      <c r="AF15" s="45" t="n">
        <f aca="false">X15*WRATE+Y15*WDEST+Z15*WTIME+AA15*WDH+AB15*WDWELL+AC15*WSEC+AD15*WROUTE+AE15*WHOS</f>
        <v>3.15</v>
      </c>
      <c r="AG15" s="44" t="str">
        <f aca="false">IF(OR(T15&lt;0,W15&gt;Assumptions!$C$49,AE15&lt;=1),"FAIL","PASS")</f>
        <v>PASS</v>
      </c>
      <c r="AH15" s="46" t="str">
        <f aca="false">IF(AG15="FAIL","DECLINE - gate",IF(AF15&gt;=Assumptions!$C$50,"ACCEPT",IF(AF15&gt;=Assumptions!$C$51,"NEGOTIATE","DECLINE - score")))</f>
        <v>NEGOTIATE</v>
      </c>
      <c r="AI15" s="34" t="n">
        <v>5</v>
      </c>
      <c r="AJ15" s="47" t="n">
        <f aca="false">AF15*2-AI15</f>
        <v>1.3</v>
      </c>
    </row>
    <row r="16" customFormat="false" ht="15" hidden="false" customHeight="true" outlineLevel="0" collapsed="false">
      <c r="B16" s="33" t="s">
        <v>223</v>
      </c>
      <c r="C16" s="33" t="s">
        <v>224</v>
      </c>
      <c r="D16" s="33" t="s">
        <v>225</v>
      </c>
      <c r="E16" s="33" t="s">
        <v>226</v>
      </c>
      <c r="F16" s="34" t="s">
        <v>187</v>
      </c>
      <c r="G16" s="35" t="n">
        <v>2057.33</v>
      </c>
      <c r="H16" s="36" t="n">
        <v>647</v>
      </c>
      <c r="I16" s="36" t="n">
        <v>54</v>
      </c>
      <c r="J16" s="37" t="n">
        <f aca="false">H16+I16</f>
        <v>701</v>
      </c>
      <c r="K16" s="38" t="n">
        <f aca="false">J16/Assumptions!$C$53</f>
        <v>13.4807692307692</v>
      </c>
      <c r="L16" s="39" t="n">
        <v>1.5</v>
      </c>
      <c r="M16" s="40" t="n">
        <f aca="false">K16+L16</f>
        <v>14.9807692307692</v>
      </c>
      <c r="N16" s="41" t="n">
        <f aca="false">IFERROR(G16/J16,0)</f>
        <v>2.93485021398003</v>
      </c>
      <c r="O16" s="38" t="n">
        <f aca="false">IF(F16="Heavy",Assumptions!$C$9,IF(F16="Medium",Assumptions!$C$10,Assumptions!$C$11))</f>
        <v>7</v>
      </c>
      <c r="P16" s="42" t="n">
        <f aca="false">J16/O16*Assumptions!$C$8</f>
        <v>408.182285714286</v>
      </c>
      <c r="Q16" s="42" t="n">
        <f aca="false">J16*Assumptions!$C$19</f>
        <v>168.24</v>
      </c>
      <c r="R16" s="42" t="n">
        <f aca="false">J16*Assumptions!$C$30</f>
        <v>78.0230157342657</v>
      </c>
      <c r="S16" s="42" t="n">
        <f aca="false">P16+Q16+R16</f>
        <v>654.445301448551</v>
      </c>
      <c r="T16" s="42" t="n">
        <f aca="false">G16-S16</f>
        <v>1402.88469855145</v>
      </c>
      <c r="U16" s="41" t="n">
        <f aca="false">IFERROR(T16/J16,0)</f>
        <v>2.00126205214187</v>
      </c>
      <c r="V16" s="42" t="n">
        <f aca="false">IFERROR(T16/M16,0)</f>
        <v>93.6457051664638</v>
      </c>
      <c r="W16" s="43" t="n">
        <f aca="false">IFERROR(I16/J16,0)</f>
        <v>0.0770328102710414</v>
      </c>
      <c r="X16" s="44" t="n">
        <f aca="false">IF(U16&gt;=RATE5,5,IF(U16&gt;=RATE4,4,IF(U16&gt;=RATE3,3,IF(U16&gt;=RATE2,2,1))))</f>
        <v>5</v>
      </c>
      <c r="Y16" s="34" t="n">
        <v>4</v>
      </c>
      <c r="Z16" s="44" t="n">
        <f aca="false">IF(V16&gt;=TIME5,5,IF(V16&gt;=TIME4,4,IF(V16&gt;=TIME3,3,IF(V16&gt;=TIME2,2,1))))</f>
        <v>5</v>
      </c>
      <c r="AA16" s="44" t="n">
        <f aca="false">IF(W16&lt;=0.05,5,IF(W16&lt;=0.1,4,IF(W16&lt;=0.18,3,IF(W16&lt;=0.28,2,1))))</f>
        <v>4</v>
      </c>
      <c r="AB16" s="34" t="n">
        <v>5</v>
      </c>
      <c r="AC16" s="34" t="n">
        <v>5</v>
      </c>
      <c r="AD16" s="34" t="n">
        <v>5</v>
      </c>
      <c r="AE16" s="34" t="n">
        <v>5</v>
      </c>
      <c r="AF16" s="45" t="n">
        <f aca="false">X16*WRATE+Y16*WDEST+Z16*WTIME+AA16*WDH+AB16*WDWELL+AC16*WSEC+AD16*WROUTE+AE16*WHOS</f>
        <v>4.65</v>
      </c>
      <c r="AG16" s="44" t="str">
        <f aca="false">IF(OR(T16&lt;0,W16&gt;Assumptions!$C$49,AE16&lt;=1),"FAIL","PASS")</f>
        <v>PASS</v>
      </c>
      <c r="AH16" s="46" t="str">
        <f aca="false">IF(AG16="FAIL","DECLINE - gate",IF(AF16&gt;=Assumptions!$C$50,"ACCEPT",IF(AF16&gt;=Assumptions!$C$51,"NEGOTIATE","DECLINE - score")))</f>
        <v>ACCEPT</v>
      </c>
      <c r="AI16" s="34" t="n">
        <v>10</v>
      </c>
      <c r="AJ16" s="47" t="n">
        <f aca="false">AF16*2-AI16</f>
        <v>-0.699999999999999</v>
      </c>
    </row>
    <row r="17" customFormat="false" ht="15" hidden="false" customHeight="true" outlineLevel="0" collapsed="false">
      <c r="B17" s="33" t="s">
        <v>227</v>
      </c>
      <c r="C17" s="33" t="s">
        <v>228</v>
      </c>
      <c r="D17" s="33" t="s">
        <v>229</v>
      </c>
      <c r="E17" s="33" t="s">
        <v>230</v>
      </c>
      <c r="F17" s="34" t="s">
        <v>187</v>
      </c>
      <c r="G17" s="35" t="n">
        <v>3248.1</v>
      </c>
      <c r="H17" s="36" t="n">
        <v>1699</v>
      </c>
      <c r="I17" s="36" t="n">
        <v>17</v>
      </c>
      <c r="J17" s="37" t="n">
        <f aca="false">H17+I17</f>
        <v>1716</v>
      </c>
      <c r="K17" s="38" t="n">
        <f aca="false">J17/Assumptions!$C$53</f>
        <v>33</v>
      </c>
      <c r="L17" s="39" t="n">
        <v>2</v>
      </c>
      <c r="M17" s="40" t="n">
        <f aca="false">K17+L17</f>
        <v>35</v>
      </c>
      <c r="N17" s="41" t="n">
        <f aca="false">IFERROR(G17/J17,0)</f>
        <v>1.89283216783217</v>
      </c>
      <c r="O17" s="38" t="n">
        <f aca="false">IF(F17="Heavy",Assumptions!$C$9,IF(F17="Medium",Assumptions!$C$10,Assumptions!$C$11))</f>
        <v>7</v>
      </c>
      <c r="P17" s="42" t="n">
        <f aca="false">J17/O17*Assumptions!$C$8</f>
        <v>999.202285714286</v>
      </c>
      <c r="Q17" s="42" t="n">
        <f aca="false">J17*Assumptions!$C$19</f>
        <v>411.84</v>
      </c>
      <c r="R17" s="42" t="n">
        <f aca="false">J17*Assumptions!$C$30</f>
        <v>190.995</v>
      </c>
      <c r="S17" s="42" t="n">
        <f aca="false">P17+Q17+R17</f>
        <v>1602.03728571429</v>
      </c>
      <c r="T17" s="42" t="n">
        <f aca="false">G17-S17</f>
        <v>1646.06271428571</v>
      </c>
      <c r="U17" s="41" t="n">
        <f aca="false">IFERROR(T17/J17,0)</f>
        <v>0.959244005994006</v>
      </c>
      <c r="V17" s="42" t="n">
        <f aca="false">IFERROR(T17/M17,0)</f>
        <v>47.0303632653061</v>
      </c>
      <c r="W17" s="43" t="n">
        <f aca="false">IFERROR(I17/J17,0)</f>
        <v>0.00990675990675991</v>
      </c>
      <c r="X17" s="44" t="n">
        <f aca="false">IF(U17&gt;=RATE5,5,IF(U17&gt;=RATE4,4,IF(U17&gt;=RATE3,3,IF(U17&gt;=RATE2,2,1))))</f>
        <v>1</v>
      </c>
      <c r="Y17" s="34" t="n">
        <v>5</v>
      </c>
      <c r="Z17" s="44" t="n">
        <f aca="false">IF(V17&gt;=TIME5,5,IF(V17&gt;=TIME4,4,IF(V17&gt;=TIME3,3,IF(V17&gt;=TIME2,2,1))))</f>
        <v>1</v>
      </c>
      <c r="AA17" s="44" t="n">
        <f aca="false">IF(W17&lt;=0.05,5,IF(W17&lt;=0.1,4,IF(W17&lt;=0.18,3,IF(W17&lt;=0.28,2,1))))</f>
        <v>5</v>
      </c>
      <c r="AB17" s="34" t="n">
        <v>4</v>
      </c>
      <c r="AC17" s="34" t="n">
        <v>3</v>
      </c>
      <c r="AD17" s="34" t="n">
        <v>4</v>
      </c>
      <c r="AE17" s="34" t="n">
        <v>4</v>
      </c>
      <c r="AF17" s="45" t="n">
        <f aca="false">X17*WRATE+Y17*WDEST+Z17*WTIME+AA17*WDH+AB17*WDWELL+AC17*WSEC+AD17*WROUTE+AE17*WHOS</f>
        <v>3.1</v>
      </c>
      <c r="AG17" s="44" t="str">
        <f aca="false">IF(OR(T17&lt;0,W17&gt;Assumptions!$C$49,AE17&lt;=1),"FAIL","PASS")</f>
        <v>PASS</v>
      </c>
      <c r="AH17" s="46" t="str">
        <f aca="false">IF(AG17="FAIL","DECLINE - gate",IF(AF17&gt;=Assumptions!$C$50,"ACCEPT",IF(AF17&gt;=Assumptions!$C$51,"NEGOTIATE","DECLINE - score")))</f>
        <v>NEGOTIATE</v>
      </c>
      <c r="AI17" s="34" t="n">
        <v>10</v>
      </c>
      <c r="AJ17" s="47" t="n">
        <f aca="false">AF17*2-AI17</f>
        <v>-3.8</v>
      </c>
    </row>
    <row r="18" customFormat="false" ht="15" hidden="false" customHeight="true" outlineLevel="0" collapsed="false">
      <c r="B18" s="33" t="s">
        <v>231</v>
      </c>
      <c r="C18" s="33" t="s">
        <v>232</v>
      </c>
      <c r="D18" s="33" t="s">
        <v>233</v>
      </c>
      <c r="E18" s="33" t="s">
        <v>234</v>
      </c>
      <c r="F18" s="34" t="s">
        <v>182</v>
      </c>
      <c r="G18" s="35" t="n">
        <v>1992.09</v>
      </c>
      <c r="H18" s="36" t="n">
        <v>684</v>
      </c>
      <c r="I18" s="36" t="n">
        <v>185</v>
      </c>
      <c r="J18" s="37" t="n">
        <f aca="false">H18+I18</f>
        <v>869</v>
      </c>
      <c r="K18" s="38" t="n">
        <f aca="false">J18/Assumptions!$C$53</f>
        <v>16.7115384615385</v>
      </c>
      <c r="L18" s="39" t="n">
        <v>3</v>
      </c>
      <c r="M18" s="40" t="n">
        <f aca="false">K18+L18</f>
        <v>19.7115384615385</v>
      </c>
      <c r="N18" s="41" t="n">
        <f aca="false">IFERROR(G18/J18,0)</f>
        <v>2.29239355581128</v>
      </c>
      <c r="O18" s="38" t="n">
        <f aca="false">IF(F18="Heavy",Assumptions!$C$9,IF(F18="Medium",Assumptions!$C$10,Assumptions!$C$11))</f>
        <v>10</v>
      </c>
      <c r="P18" s="42" t="n">
        <f aca="false">J18/O18*Assumptions!$C$8</f>
        <v>354.2044</v>
      </c>
      <c r="Q18" s="42" t="n">
        <f aca="false">J18*Assumptions!$C$19</f>
        <v>208.56</v>
      </c>
      <c r="R18" s="42" t="n">
        <f aca="false">J18*Assumptions!$C$30</f>
        <v>96.7218269230769</v>
      </c>
      <c r="S18" s="42" t="n">
        <f aca="false">P18+Q18+R18</f>
        <v>659.486226923077</v>
      </c>
      <c r="T18" s="42" t="n">
        <f aca="false">G18-S18</f>
        <v>1332.60377307692</v>
      </c>
      <c r="U18" s="41" t="n">
        <f aca="false">IFERROR(T18/J18,0)</f>
        <v>1.53349110825883</v>
      </c>
      <c r="V18" s="42" t="n">
        <f aca="false">IFERROR(T18/M18,0)</f>
        <v>67.6052645853659</v>
      </c>
      <c r="W18" s="43" t="n">
        <f aca="false">IFERROR(I18/J18,0)</f>
        <v>0.212888377445339</v>
      </c>
      <c r="X18" s="44" t="n">
        <f aca="false">IF(U18&gt;=RATE5,5,IF(U18&gt;=RATE4,4,IF(U18&gt;=RATE3,3,IF(U18&gt;=RATE2,2,1))))</f>
        <v>4</v>
      </c>
      <c r="Y18" s="34" t="n">
        <v>3</v>
      </c>
      <c r="Z18" s="44" t="n">
        <f aca="false">IF(V18&gt;=TIME5,5,IF(V18&gt;=TIME4,4,IF(V18&gt;=TIME3,3,IF(V18&gt;=TIME2,2,1))))</f>
        <v>3</v>
      </c>
      <c r="AA18" s="44" t="n">
        <f aca="false">IF(W18&lt;=0.05,5,IF(W18&lt;=0.1,4,IF(W18&lt;=0.18,3,IF(W18&lt;=0.28,2,1))))</f>
        <v>2</v>
      </c>
      <c r="AB18" s="34" t="n">
        <v>2</v>
      </c>
      <c r="AC18" s="34" t="n">
        <v>1</v>
      </c>
      <c r="AD18" s="34" t="n">
        <v>3</v>
      </c>
      <c r="AE18" s="34" t="n">
        <v>4</v>
      </c>
      <c r="AF18" s="45" t="n">
        <f aca="false">X18*WRATE+Y18*WDEST+Z18*WTIME+AA18*WDH+AB18*WDWELL+AC18*WSEC+AD18*WROUTE+AE18*WHOS</f>
        <v>3</v>
      </c>
      <c r="AG18" s="44" t="str">
        <f aca="false">IF(OR(T18&lt;0,W18&gt;Assumptions!$C$49,AE18&lt;=1),"FAIL","PASS")</f>
        <v>PASS</v>
      </c>
      <c r="AH18" s="46" t="str">
        <f aca="false">IF(AG18="FAIL","DECLINE - gate",IF(AF18&gt;=Assumptions!$C$50,"ACCEPT",IF(AF18&gt;=Assumptions!$C$51,"NEGOTIATE","DECLINE - score")))</f>
        <v>NEGOTIATE</v>
      </c>
      <c r="AI18" s="34" t="n">
        <v>9</v>
      </c>
      <c r="AJ18" s="47" t="n">
        <f aca="false">AF18*2-AI18</f>
        <v>-3</v>
      </c>
    </row>
    <row r="19" customFormat="false" ht="15" hidden="false" customHeight="true" outlineLevel="0" collapsed="false">
      <c r="B19" s="33" t="s">
        <v>235</v>
      </c>
      <c r="C19" s="33" t="s">
        <v>236</v>
      </c>
      <c r="D19" s="33" t="s">
        <v>237</v>
      </c>
      <c r="E19" s="33" t="s">
        <v>234</v>
      </c>
      <c r="F19" s="34" t="s">
        <v>182</v>
      </c>
      <c r="G19" s="35" t="n">
        <v>970.11</v>
      </c>
      <c r="H19" s="36" t="n">
        <v>227</v>
      </c>
      <c r="I19" s="36" t="n">
        <v>103</v>
      </c>
      <c r="J19" s="37" t="n">
        <f aca="false">H19+I19</f>
        <v>330</v>
      </c>
      <c r="K19" s="38" t="n">
        <f aca="false">J19/Assumptions!$C$53</f>
        <v>6.34615384615385</v>
      </c>
      <c r="L19" s="39" t="n">
        <v>1.5</v>
      </c>
      <c r="M19" s="40" t="n">
        <f aca="false">K19+L19</f>
        <v>7.84615384615385</v>
      </c>
      <c r="N19" s="41" t="n">
        <f aca="false">IFERROR(G19/J19,0)</f>
        <v>2.93972727272727</v>
      </c>
      <c r="O19" s="38" t="n">
        <f aca="false">IF(F19="Heavy",Assumptions!$C$9,IF(F19="Medium",Assumptions!$C$10,Assumptions!$C$11))</f>
        <v>10</v>
      </c>
      <c r="P19" s="42" t="n">
        <f aca="false">J19/O19*Assumptions!$C$8</f>
        <v>134.508</v>
      </c>
      <c r="Q19" s="42" t="n">
        <f aca="false">J19*Assumptions!$C$19</f>
        <v>79.2</v>
      </c>
      <c r="R19" s="42" t="n">
        <f aca="false">J19*Assumptions!$C$30</f>
        <v>36.7298076923077</v>
      </c>
      <c r="S19" s="42" t="n">
        <f aca="false">P19+Q19+R19</f>
        <v>250.437807692308</v>
      </c>
      <c r="T19" s="42" t="n">
        <f aca="false">G19-S19</f>
        <v>719.672192307692</v>
      </c>
      <c r="U19" s="41" t="n">
        <f aca="false">IFERROR(T19/J19,0)</f>
        <v>2.18082482517483</v>
      </c>
      <c r="V19" s="42" t="n">
        <f aca="false">IFERROR(T19/M19,0)</f>
        <v>91.7229264705882</v>
      </c>
      <c r="W19" s="43" t="n">
        <f aca="false">IFERROR(I19/J19,0)</f>
        <v>0.312121212121212</v>
      </c>
      <c r="X19" s="44" t="n">
        <f aca="false">IF(U19&gt;=RATE5,5,IF(U19&gt;=RATE4,4,IF(U19&gt;=RATE3,3,IF(U19&gt;=RATE2,2,1))))</f>
        <v>5</v>
      </c>
      <c r="Y19" s="34" t="n">
        <v>5</v>
      </c>
      <c r="Z19" s="44" t="n">
        <f aca="false">IF(V19&gt;=TIME5,5,IF(V19&gt;=TIME4,4,IF(V19&gt;=TIME3,3,IF(V19&gt;=TIME2,2,1))))</f>
        <v>5</v>
      </c>
      <c r="AA19" s="44" t="n">
        <f aca="false">IF(W19&lt;=0.05,5,IF(W19&lt;=0.1,4,IF(W19&lt;=0.18,3,IF(W19&lt;=0.28,2,1))))</f>
        <v>1</v>
      </c>
      <c r="AB19" s="34" t="n">
        <v>5</v>
      </c>
      <c r="AC19" s="34" t="n">
        <v>4</v>
      </c>
      <c r="AD19" s="34" t="n">
        <v>4</v>
      </c>
      <c r="AE19" s="34" t="n">
        <v>5</v>
      </c>
      <c r="AF19" s="45" t="n">
        <f aca="false">X19*WRATE+Y19*WDEST+Z19*WTIME+AA19*WDH+AB19*WDWELL+AC19*WSEC+AD19*WROUTE+AE19*WHOS</f>
        <v>4.5</v>
      </c>
      <c r="AG19" s="44" t="str">
        <f aca="false">IF(OR(T19&lt;0,W19&gt;Assumptions!$C$49,AE19&lt;=1),"FAIL","PASS")</f>
        <v>PASS</v>
      </c>
      <c r="AH19" s="46" t="str">
        <f aca="false">IF(AG19="FAIL","DECLINE - gate",IF(AF19&gt;=Assumptions!$C$50,"ACCEPT",IF(AF19&gt;=Assumptions!$C$51,"NEGOTIATE","DECLINE - score")))</f>
        <v>ACCEPT</v>
      </c>
      <c r="AI19" s="34" t="n">
        <v>10</v>
      </c>
      <c r="AJ19" s="47" t="n">
        <f aca="false">AF19*2-AI19</f>
        <v>-1</v>
      </c>
    </row>
    <row r="20" customFormat="false" ht="15" hidden="false" customHeight="true" outlineLevel="0" collapsed="false">
      <c r="B20" s="33" t="s">
        <v>238</v>
      </c>
      <c r="C20" s="33" t="s">
        <v>239</v>
      </c>
      <c r="D20" s="33" t="s">
        <v>240</v>
      </c>
      <c r="E20" s="33" t="s">
        <v>241</v>
      </c>
      <c r="F20" s="34" t="s">
        <v>177</v>
      </c>
      <c r="G20" s="35" t="n">
        <v>2135.04</v>
      </c>
      <c r="H20" s="36" t="n">
        <v>1041</v>
      </c>
      <c r="I20" s="36" t="n">
        <v>87</v>
      </c>
      <c r="J20" s="37" t="n">
        <f aca="false">H20+I20</f>
        <v>1128</v>
      </c>
      <c r="K20" s="38" t="n">
        <f aca="false">J20/Assumptions!$C$53</f>
        <v>21.6923076923077</v>
      </c>
      <c r="L20" s="39" t="n">
        <v>1.5</v>
      </c>
      <c r="M20" s="40" t="n">
        <f aca="false">K20+L20</f>
        <v>23.1923076923077</v>
      </c>
      <c r="N20" s="41" t="n">
        <f aca="false">IFERROR(G20/J20,0)</f>
        <v>1.89276595744681</v>
      </c>
      <c r="O20" s="38" t="n">
        <f aca="false">IF(F20="Heavy",Assumptions!$C$9,IF(F20="Medium",Assumptions!$C$10,Assumptions!$C$11))</f>
        <v>8.5</v>
      </c>
      <c r="P20" s="42" t="n">
        <f aca="false">J20/O20*Assumptions!$C$8</f>
        <v>540.909176470588</v>
      </c>
      <c r="Q20" s="42" t="n">
        <f aca="false">J20*Assumptions!$C$19</f>
        <v>270.72</v>
      </c>
      <c r="R20" s="42" t="n">
        <f aca="false">J20*Assumptions!$C$30</f>
        <v>125.549160839161</v>
      </c>
      <c r="S20" s="42" t="n">
        <f aca="false">P20+Q20+R20</f>
        <v>937.178337309749</v>
      </c>
      <c r="T20" s="42" t="n">
        <f aca="false">G20-S20</f>
        <v>1197.86166269025</v>
      </c>
      <c r="U20" s="41" t="n">
        <f aca="false">IFERROR(T20/J20,0)</f>
        <v>1.06193409812966</v>
      </c>
      <c r="V20" s="42" t="n">
        <f aca="false">IFERROR(T20/M20,0)</f>
        <v>51.6490932503259</v>
      </c>
      <c r="W20" s="43" t="n">
        <f aca="false">IFERROR(I20/J20,0)</f>
        <v>0.0771276595744681</v>
      </c>
      <c r="X20" s="44" t="n">
        <f aca="false">IF(U20&gt;=RATE5,5,IF(U20&gt;=RATE4,4,IF(U20&gt;=RATE3,3,IF(U20&gt;=RATE2,2,1))))</f>
        <v>2</v>
      </c>
      <c r="Y20" s="34" t="n">
        <v>5</v>
      </c>
      <c r="Z20" s="44" t="n">
        <f aca="false">IF(V20&gt;=TIME5,5,IF(V20&gt;=TIME4,4,IF(V20&gt;=TIME3,3,IF(V20&gt;=TIME2,2,1))))</f>
        <v>2</v>
      </c>
      <c r="AA20" s="44" t="n">
        <f aca="false">IF(W20&lt;=0.05,5,IF(W20&lt;=0.1,4,IF(W20&lt;=0.18,3,IF(W20&lt;=0.28,2,1))))</f>
        <v>4</v>
      </c>
      <c r="AB20" s="34" t="n">
        <v>5</v>
      </c>
      <c r="AC20" s="34" t="n">
        <v>4</v>
      </c>
      <c r="AD20" s="34" t="n">
        <v>5</v>
      </c>
      <c r="AE20" s="34" t="n">
        <v>3</v>
      </c>
      <c r="AF20" s="45" t="n">
        <f aca="false">X20*WRATE+Y20*WDEST+Z20*WTIME+AA20*WDH+AB20*WDWELL+AC20*WSEC+AD20*WROUTE+AE20*WHOS</f>
        <v>3.55</v>
      </c>
      <c r="AG20" s="44" t="str">
        <f aca="false">IF(OR(T20&lt;0,W20&gt;Assumptions!$C$49,AE20&lt;=1),"FAIL","PASS")</f>
        <v>PASS</v>
      </c>
      <c r="AH20" s="46" t="str">
        <f aca="false">IF(AG20="FAIL","DECLINE - gate",IF(AF20&gt;=Assumptions!$C$50,"ACCEPT",IF(AF20&gt;=Assumptions!$C$51,"NEGOTIATE","DECLINE - score")))</f>
        <v>NEGOTIATE</v>
      </c>
      <c r="AI20" s="34" t="n">
        <v>9</v>
      </c>
      <c r="AJ20" s="47" t="n">
        <f aca="false">AF20*2-AI20</f>
        <v>-1.9</v>
      </c>
    </row>
    <row r="21" customFormat="false" ht="15" hidden="false" customHeight="true" outlineLevel="0" collapsed="false">
      <c r="B21" s="33" t="s">
        <v>242</v>
      </c>
      <c r="C21" s="33" t="s">
        <v>243</v>
      </c>
      <c r="D21" s="33" t="s">
        <v>244</v>
      </c>
      <c r="E21" s="33" t="s">
        <v>245</v>
      </c>
      <c r="F21" s="34" t="s">
        <v>187</v>
      </c>
      <c r="G21" s="35" t="n">
        <v>2951.03</v>
      </c>
      <c r="H21" s="36" t="n">
        <v>894</v>
      </c>
      <c r="I21" s="36" t="n">
        <v>265</v>
      </c>
      <c r="J21" s="37" t="n">
        <f aca="false">H21+I21</f>
        <v>1159</v>
      </c>
      <c r="K21" s="38" t="n">
        <f aca="false">J21/Assumptions!$C$53</f>
        <v>22.2884615384615</v>
      </c>
      <c r="L21" s="39" t="n">
        <v>3</v>
      </c>
      <c r="M21" s="40" t="n">
        <f aca="false">K21+L21</f>
        <v>25.2884615384615</v>
      </c>
      <c r="N21" s="41" t="n">
        <f aca="false">IFERROR(G21/J21,0)</f>
        <v>2.54618636755824</v>
      </c>
      <c r="O21" s="38" t="n">
        <f aca="false">IF(F21="Heavy",Assumptions!$C$9,IF(F21="Medium",Assumptions!$C$10,Assumptions!$C$11))</f>
        <v>7</v>
      </c>
      <c r="P21" s="42" t="n">
        <f aca="false">J21/O21*Assumptions!$C$8</f>
        <v>674.869142857143</v>
      </c>
      <c r="Q21" s="42" t="n">
        <f aca="false">J21*Assumptions!$C$19</f>
        <v>278.16</v>
      </c>
      <c r="R21" s="42" t="n">
        <f aca="false">J21*Assumptions!$C$30</f>
        <v>128.999536713287</v>
      </c>
      <c r="S21" s="42" t="n">
        <f aca="false">P21+Q21+R21</f>
        <v>1082.02867957043</v>
      </c>
      <c r="T21" s="42" t="n">
        <f aca="false">G21-S21</f>
        <v>1869.00132042957</v>
      </c>
      <c r="U21" s="41" t="n">
        <f aca="false">IFERROR(T21/J21,0)</f>
        <v>1.61259820572008</v>
      </c>
      <c r="V21" s="42" t="n">
        <f aca="false">IFERROR(T21/M21,0)</f>
        <v>73.9072765493062</v>
      </c>
      <c r="W21" s="43" t="n">
        <f aca="false">IFERROR(I21/J21,0)</f>
        <v>0.228645383951683</v>
      </c>
      <c r="X21" s="44" t="n">
        <f aca="false">IF(U21&gt;=RATE5,5,IF(U21&gt;=RATE4,4,IF(U21&gt;=RATE3,3,IF(U21&gt;=RATE2,2,1))))</f>
        <v>5</v>
      </c>
      <c r="Y21" s="34" t="n">
        <v>5</v>
      </c>
      <c r="Z21" s="44" t="n">
        <f aca="false">IF(V21&gt;=TIME5,5,IF(V21&gt;=TIME4,4,IF(V21&gt;=TIME3,3,IF(V21&gt;=TIME2,2,1))))</f>
        <v>4</v>
      </c>
      <c r="AA21" s="44" t="n">
        <f aca="false">IF(W21&lt;=0.05,5,IF(W21&lt;=0.1,4,IF(W21&lt;=0.18,3,IF(W21&lt;=0.28,2,1))))</f>
        <v>2</v>
      </c>
      <c r="AB21" s="34" t="n">
        <v>3</v>
      </c>
      <c r="AC21" s="34" t="n">
        <v>3</v>
      </c>
      <c r="AD21" s="34" t="n">
        <v>3</v>
      </c>
      <c r="AE21" s="34" t="n">
        <v>3</v>
      </c>
      <c r="AF21" s="45" t="n">
        <f aca="false">X21*WRATE+Y21*WDEST+Z21*WTIME+AA21*WDH+AB21*WDWELL+AC21*WSEC+AD21*WROUTE+AE21*WHOS</f>
        <v>4.05</v>
      </c>
      <c r="AG21" s="44" t="str">
        <f aca="false">IF(OR(T21&lt;0,W21&gt;Assumptions!$C$49,AE21&lt;=1),"FAIL","PASS")</f>
        <v>PASS</v>
      </c>
      <c r="AH21" s="46" t="str">
        <f aca="false">IF(AG21="FAIL","DECLINE - gate",IF(AF21&gt;=Assumptions!$C$50,"ACCEPT",IF(AF21&gt;=Assumptions!$C$51,"NEGOTIATE","DECLINE - score")))</f>
        <v>ACCEPT</v>
      </c>
      <c r="AI21" s="34" t="n">
        <v>9</v>
      </c>
      <c r="AJ21" s="47" t="n">
        <f aca="false">AF21*2-AI21</f>
        <v>-0.899999999999999</v>
      </c>
    </row>
    <row r="23" customFormat="false" ht="15" hidden="false" customHeight="true" outlineLevel="0" collapsed="false">
      <c r="B23" s="48" t="s">
        <v>246</v>
      </c>
      <c r="C23" s="49"/>
      <c r="D23" s="49"/>
      <c r="E23" s="49"/>
      <c r="F23" s="49"/>
      <c r="G23" s="50" t="n">
        <f aca="false">SUM(G4:G21)</f>
        <v>41501.02</v>
      </c>
      <c r="H23" s="51" t="n">
        <f aca="false">SUM(H4:H21)</f>
        <v>16783</v>
      </c>
      <c r="I23" s="51" t="n">
        <f aca="false">SUM(I4:I21)</f>
        <v>2431</v>
      </c>
      <c r="J23" s="51" t="n">
        <f aca="false">SUM(J4:J21)</f>
        <v>19214</v>
      </c>
      <c r="K23" s="49"/>
      <c r="L23" s="49"/>
      <c r="M23" s="52" t="n">
        <f aca="false">SUM(M4:M21)</f>
        <v>401</v>
      </c>
      <c r="N23" s="53" t="n">
        <f aca="false">G23/J23</f>
        <v>2.15993650463204</v>
      </c>
      <c r="O23" s="49"/>
      <c r="P23" s="50" t="n">
        <f aca="false">SUM(P4:P21)</f>
        <v>10246.9235663866</v>
      </c>
      <c r="Q23" s="49"/>
      <c r="R23" s="49"/>
      <c r="S23" s="50" t="n">
        <f aca="false">SUM(S4:S21)</f>
        <v>16996.8487936593</v>
      </c>
      <c r="T23" s="50" t="n">
        <f aca="false">SUM(T4:T21)</f>
        <v>24504.1712063407</v>
      </c>
      <c r="U23" s="53" t="n">
        <f aca="false">T23/J23</f>
        <v>1.27532898960866</v>
      </c>
      <c r="V23" s="49"/>
      <c r="W23" s="54" t="n">
        <f aca="false">I23/J23</f>
        <v>0.126522327469553</v>
      </c>
      <c r="X23" s="49"/>
      <c r="Y23" s="49"/>
      <c r="Z23" s="49"/>
      <c r="AA23" s="49"/>
      <c r="AB23" s="49"/>
      <c r="AC23" s="49"/>
      <c r="AD23" s="49"/>
      <c r="AE23" s="49"/>
      <c r="AF23" s="55" t="n">
        <f aca="false">AVERAGE(AF4:AF21)</f>
        <v>3.56388888888889</v>
      </c>
      <c r="AG23" s="49"/>
      <c r="AH23" s="49"/>
      <c r="AI23" s="55" t="n">
        <f aca="false">AVERAGE(AI4:AI21)</f>
        <v>8.5</v>
      </c>
      <c r="AJ23" s="49"/>
    </row>
    <row r="25" customFormat="false" ht="15" hidden="false" customHeight="true" outlineLevel="0" collapsed="false">
      <c r="B25" s="10" t="s">
        <v>247</v>
      </c>
    </row>
    <row r="26" customFormat="false" ht="15" hidden="false" customHeight="true" outlineLevel="0" collapsed="false">
      <c r="B26" s="10" t="s">
        <v>248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6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9" min="5" style="1" width="15"/>
  </cols>
  <sheetData>
    <row r="2" customFormat="false" ht="19.5" hidden="false" customHeight="true" outlineLevel="0" collapsed="false">
      <c r="B2" s="2" t="s">
        <v>249</v>
      </c>
    </row>
    <row r="3" customFormat="false" ht="15" hidden="false" customHeight="true" outlineLevel="0" collapsed="false">
      <c r="B3" s="3" t="s">
        <v>250</v>
      </c>
    </row>
    <row r="5" customFormat="false" ht="15" hidden="false" customHeight="true" outlineLevel="0" collapsed="false">
      <c r="B5" s="56" t="s">
        <v>251</v>
      </c>
      <c r="C5" s="56" t="s">
        <v>252</v>
      </c>
      <c r="D5" s="56" t="s">
        <v>253</v>
      </c>
      <c r="E5" s="56" t="s">
        <v>254</v>
      </c>
      <c r="F5" s="56" t="s">
        <v>255</v>
      </c>
      <c r="G5" s="56" t="s">
        <v>256</v>
      </c>
      <c r="H5" s="56" t="s">
        <v>257</v>
      </c>
      <c r="I5" s="56" t="s">
        <v>258</v>
      </c>
    </row>
    <row r="6" customFormat="false" ht="15" hidden="false" customHeight="true" outlineLevel="0" collapsed="false">
      <c r="B6" s="57" t="s">
        <v>259</v>
      </c>
      <c r="C6" s="58" t="n">
        <v>0.25</v>
      </c>
      <c r="D6" s="59" t="s">
        <v>260</v>
      </c>
      <c r="E6" s="60" t="s">
        <v>261</v>
      </c>
      <c r="F6" s="60" t="s">
        <v>261</v>
      </c>
      <c r="G6" s="60" t="s">
        <v>261</v>
      </c>
      <c r="H6" s="60" t="s">
        <v>261</v>
      </c>
      <c r="I6" s="60" t="s">
        <v>261</v>
      </c>
    </row>
    <row r="7" customFormat="false" ht="15" hidden="false" customHeight="true" outlineLevel="0" collapsed="false">
      <c r="B7" s="61" t="s">
        <v>262</v>
      </c>
      <c r="C7" s="29" t="n">
        <v>0.25</v>
      </c>
      <c r="D7" s="62" t="s">
        <v>263</v>
      </c>
      <c r="E7" s="63" t="s">
        <v>264</v>
      </c>
      <c r="F7" s="63" t="s">
        <v>265</v>
      </c>
      <c r="G7" s="63" t="s">
        <v>266</v>
      </c>
      <c r="H7" s="63" t="s">
        <v>267</v>
      </c>
      <c r="I7" s="63" t="s">
        <v>268</v>
      </c>
    </row>
    <row r="8" customFormat="false" ht="15" hidden="false" customHeight="true" outlineLevel="0" collapsed="false">
      <c r="B8" s="57" t="s">
        <v>269</v>
      </c>
      <c r="C8" s="58" t="n">
        <v>0.15</v>
      </c>
      <c r="D8" s="59" t="s">
        <v>260</v>
      </c>
      <c r="E8" s="60" t="s">
        <v>261</v>
      </c>
      <c r="F8" s="60" t="s">
        <v>261</v>
      </c>
      <c r="G8" s="60" t="s">
        <v>261</v>
      </c>
      <c r="H8" s="60" t="s">
        <v>261</v>
      </c>
      <c r="I8" s="60" t="s">
        <v>261</v>
      </c>
    </row>
    <row r="9" customFormat="false" ht="15" hidden="false" customHeight="true" outlineLevel="0" collapsed="false">
      <c r="B9" s="61" t="s">
        <v>270</v>
      </c>
      <c r="C9" s="29" t="n">
        <v>0.1</v>
      </c>
      <c r="D9" s="64" t="s">
        <v>260</v>
      </c>
      <c r="E9" s="63" t="s">
        <v>271</v>
      </c>
      <c r="F9" s="63" t="s">
        <v>272</v>
      </c>
      <c r="G9" s="63" t="s">
        <v>273</v>
      </c>
      <c r="H9" s="63" t="s">
        <v>274</v>
      </c>
      <c r="I9" s="63" t="s">
        <v>275</v>
      </c>
    </row>
    <row r="10" customFormat="false" ht="15" hidden="false" customHeight="true" outlineLevel="0" collapsed="false">
      <c r="B10" s="57" t="s">
        <v>276</v>
      </c>
      <c r="C10" s="58" t="n">
        <v>0.1</v>
      </c>
      <c r="D10" s="65" t="s">
        <v>263</v>
      </c>
      <c r="E10" s="66" t="s">
        <v>277</v>
      </c>
      <c r="F10" s="66" t="s">
        <v>278</v>
      </c>
      <c r="G10" s="66" t="s">
        <v>279</v>
      </c>
      <c r="H10" s="66" t="s">
        <v>280</v>
      </c>
      <c r="I10" s="66" t="s">
        <v>281</v>
      </c>
    </row>
    <row r="11" customFormat="false" ht="15" hidden="false" customHeight="true" outlineLevel="0" collapsed="false">
      <c r="B11" s="61" t="s">
        <v>282</v>
      </c>
      <c r="C11" s="29" t="n">
        <v>0.05</v>
      </c>
      <c r="D11" s="62" t="s">
        <v>263</v>
      </c>
      <c r="E11" s="63" t="s">
        <v>283</v>
      </c>
      <c r="F11" s="63" t="s">
        <v>284</v>
      </c>
      <c r="G11" s="63" t="s">
        <v>285</v>
      </c>
      <c r="H11" s="63" t="s">
        <v>286</v>
      </c>
      <c r="I11" s="63" t="s">
        <v>287</v>
      </c>
    </row>
    <row r="12" customFormat="false" ht="21.75" hidden="false" customHeight="true" outlineLevel="0" collapsed="false">
      <c r="B12" s="57" t="s">
        <v>288</v>
      </c>
      <c r="C12" s="58" t="n">
        <v>0.05</v>
      </c>
      <c r="D12" s="65" t="s">
        <v>263</v>
      </c>
      <c r="E12" s="66" t="s">
        <v>289</v>
      </c>
      <c r="F12" s="66" t="s">
        <v>290</v>
      </c>
      <c r="G12" s="66" t="s">
        <v>291</v>
      </c>
      <c r="H12" s="66" t="s">
        <v>292</v>
      </c>
      <c r="I12" s="66" t="s">
        <v>293</v>
      </c>
    </row>
    <row r="13" customFormat="false" ht="15" hidden="false" customHeight="true" outlineLevel="0" collapsed="false">
      <c r="B13" s="61" t="s">
        <v>294</v>
      </c>
      <c r="C13" s="29" t="n">
        <v>0.05</v>
      </c>
      <c r="D13" s="62" t="s">
        <v>263</v>
      </c>
      <c r="E13" s="63" t="s">
        <v>295</v>
      </c>
      <c r="F13" s="63" t="s">
        <v>296</v>
      </c>
      <c r="G13" s="63" t="s">
        <v>297</v>
      </c>
      <c r="H13" s="63" t="s">
        <v>298</v>
      </c>
      <c r="I13" s="63" t="s">
        <v>299</v>
      </c>
    </row>
    <row r="14" customFormat="false" ht="15" hidden="false" customHeight="true" outlineLevel="0" collapsed="false">
      <c r="B14" s="67" t="s">
        <v>300</v>
      </c>
      <c r="C14" s="68" t="n">
        <f aca="false">SUM(C6:C13)</f>
        <v>1</v>
      </c>
      <c r="E14" s="69" t="str">
        <f aca="false">IF(ABS(C14-1)&lt;0.0001,"Balanced","ERROR - must total 100%")</f>
        <v>Balanced</v>
      </c>
    </row>
    <row r="16" customFormat="false" ht="15" hidden="false" customHeight="true" outlineLevel="0" collapsed="false">
      <c r="B16" s="4" t="s">
        <v>301</v>
      </c>
    </row>
    <row r="17" customFormat="false" ht="15" hidden="false" customHeight="true" outlineLevel="0" collapsed="false">
      <c r="B17" s="22" t="s">
        <v>251</v>
      </c>
      <c r="C17" s="22" t="s">
        <v>254</v>
      </c>
      <c r="D17" s="22" t="s">
        <v>255</v>
      </c>
      <c r="E17" s="22" t="s">
        <v>256</v>
      </c>
      <c r="F17" s="22" t="s">
        <v>257</v>
      </c>
      <c r="G17" s="22" t="s">
        <v>302</v>
      </c>
    </row>
    <row r="18" customFormat="false" ht="15" hidden="false" customHeight="true" outlineLevel="0" collapsed="false">
      <c r="B18" s="5" t="s">
        <v>303</v>
      </c>
      <c r="C18" s="70" t="n">
        <v>1.58</v>
      </c>
      <c r="D18" s="70" t="n">
        <v>1.43</v>
      </c>
      <c r="E18" s="70" t="n">
        <v>1.23</v>
      </c>
      <c r="F18" s="70" t="n">
        <v>1.06</v>
      </c>
      <c r="G18" s="10" t="s">
        <v>304</v>
      </c>
    </row>
    <row r="19" customFormat="false" ht="15" hidden="false" customHeight="true" outlineLevel="0" collapsed="false">
      <c r="B19" s="5" t="s">
        <v>305</v>
      </c>
      <c r="C19" s="19" t="n">
        <v>74</v>
      </c>
      <c r="D19" s="19" t="n">
        <v>68</v>
      </c>
      <c r="E19" s="19" t="n">
        <v>57</v>
      </c>
      <c r="F19" s="19" t="n">
        <v>50</v>
      </c>
      <c r="G19" s="10" t="s">
        <v>304</v>
      </c>
    </row>
    <row r="21" customFormat="false" ht="15" hidden="false" customHeight="true" outlineLevel="0" collapsed="false">
      <c r="B21" s="4" t="s">
        <v>306</v>
      </c>
    </row>
    <row r="22" customFormat="false" ht="15" hidden="false" customHeight="true" outlineLevel="0" collapsed="false">
      <c r="B22" s="10" t="s">
        <v>307</v>
      </c>
    </row>
    <row r="23" customFormat="false" ht="15" hidden="false" customHeight="true" outlineLevel="0" collapsed="false">
      <c r="B23" s="10" t="s">
        <v>308</v>
      </c>
    </row>
    <row r="24" customFormat="false" ht="15" hidden="false" customHeight="true" outlineLevel="0" collapsed="false">
      <c r="B24" s="10" t="s">
        <v>309</v>
      </c>
    </row>
    <row r="25" customFormat="false" ht="15" hidden="false" customHeight="true" outlineLevel="0" collapsed="false">
      <c r="B25" s="10"/>
    </row>
    <row r="26" customFormat="false" ht="15" hidden="false" customHeight="true" outlineLevel="0" collapsed="false">
      <c r="B26" s="10" t="s">
        <v>310</v>
      </c>
    </row>
    <row r="27" customFormat="false" ht="15" hidden="false" customHeight="true" outlineLevel="0" collapsed="false">
      <c r="B27" s="10" t="s">
        <v>311</v>
      </c>
    </row>
    <row r="28" customFormat="false" ht="15" hidden="false" customHeight="true" outlineLevel="0" collapsed="false">
      <c r="B28" s="10"/>
    </row>
    <row r="29" customFormat="false" ht="15" hidden="false" customHeight="true" outlineLevel="0" collapsed="false">
      <c r="B29" s="10" t="s">
        <v>312</v>
      </c>
    </row>
    <row r="30" customFormat="false" ht="15" hidden="false" customHeight="true" outlineLevel="0" collapsed="false">
      <c r="B30" s="10" t="s">
        <v>313</v>
      </c>
    </row>
    <row r="31" customFormat="false" ht="15" hidden="false" customHeight="true" outlineLevel="0" collapsed="false">
      <c r="B31" s="10" t="s">
        <v>314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F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2"/>
    <col collapsed="false" customWidth="true" hidden="false" outlineLevel="0" max="4" min="3" style="1" width="15"/>
    <col collapsed="false" customWidth="true" hidden="false" outlineLevel="0" max="5" min="5" style="1" width="13"/>
    <col collapsed="false" customWidth="true" hidden="false" outlineLevel="0" max="6" min="6" style="1" width="72"/>
  </cols>
  <sheetData>
    <row r="2" customFormat="false" ht="19.5" hidden="false" customHeight="true" outlineLevel="0" collapsed="false">
      <c r="B2" s="2" t="s">
        <v>315</v>
      </c>
    </row>
    <row r="3" customFormat="false" ht="15" hidden="false" customHeight="true" outlineLevel="0" collapsed="false">
      <c r="B3" s="3" t="s">
        <v>316</v>
      </c>
    </row>
    <row r="5" customFormat="false" ht="15" hidden="false" customHeight="true" outlineLevel="0" collapsed="false">
      <c r="B5" s="6" t="s">
        <v>317</v>
      </c>
      <c r="C5" s="7"/>
      <c r="D5" s="7"/>
      <c r="E5" s="7"/>
      <c r="F5" s="7"/>
    </row>
    <row r="6" customFormat="false" ht="15" hidden="false" customHeight="true" outlineLevel="0" collapsed="false">
      <c r="B6" s="10" t="s">
        <v>318</v>
      </c>
    </row>
    <row r="7" customFormat="false" ht="15" hidden="false" customHeight="true" outlineLevel="0" collapsed="false">
      <c r="B7" s="22" t="s">
        <v>319</v>
      </c>
      <c r="C7" s="22" t="s">
        <v>320</v>
      </c>
      <c r="D7" s="22" t="s">
        <v>321</v>
      </c>
      <c r="E7" s="22" t="s">
        <v>322</v>
      </c>
      <c r="F7" s="22" t="s">
        <v>323</v>
      </c>
    </row>
    <row r="8" customFormat="false" ht="15" hidden="false" customHeight="true" outlineLevel="0" collapsed="false">
      <c r="B8" s="26" t="s">
        <v>324</v>
      </c>
      <c r="C8" s="24" t="n">
        <v>894</v>
      </c>
      <c r="D8" s="24" t="n">
        <v>894</v>
      </c>
      <c r="E8" s="71" t="s">
        <v>325</v>
      </c>
      <c r="F8" s="10" t="s">
        <v>326</v>
      </c>
    </row>
    <row r="9" customFormat="false" ht="15" hidden="false" customHeight="true" outlineLevel="0" collapsed="false">
      <c r="B9" s="26" t="s">
        <v>327</v>
      </c>
      <c r="C9" s="24" t="n">
        <v>265</v>
      </c>
      <c r="D9" s="24" t="n">
        <v>204</v>
      </c>
      <c r="E9" s="71" t="s">
        <v>328</v>
      </c>
      <c r="F9" s="10" t="s">
        <v>329</v>
      </c>
    </row>
    <row r="10" customFormat="false" ht="15" hidden="false" customHeight="true" outlineLevel="0" collapsed="false">
      <c r="B10" s="26" t="s">
        <v>330</v>
      </c>
      <c r="C10" s="24" t="n">
        <v>1159</v>
      </c>
      <c r="D10" s="24" t="n">
        <v>1098</v>
      </c>
      <c r="E10" s="71" t="s">
        <v>328</v>
      </c>
      <c r="F10" s="10" t="s">
        <v>331</v>
      </c>
    </row>
    <row r="11" customFormat="false" ht="15" hidden="false" customHeight="true" outlineLevel="0" collapsed="false">
      <c r="B11" s="26" t="s">
        <v>332</v>
      </c>
      <c r="C11" s="72" t="n">
        <v>2367.83</v>
      </c>
      <c r="D11" s="72" t="n">
        <v>2367.94</v>
      </c>
      <c r="E11" s="71" t="s">
        <v>333</v>
      </c>
      <c r="F11" s="10" t="s">
        <v>334</v>
      </c>
    </row>
    <row r="12" customFormat="false" ht="15" hidden="false" customHeight="true" outlineLevel="0" collapsed="false">
      <c r="B12" s="26" t="s">
        <v>335</v>
      </c>
      <c r="C12" s="72" t="n">
        <v>439.2</v>
      </c>
      <c r="D12" s="72" t="n">
        <v>439.2</v>
      </c>
      <c r="E12" s="71" t="s">
        <v>336</v>
      </c>
      <c r="F12" s="10" t="s">
        <v>337</v>
      </c>
    </row>
    <row r="13" customFormat="false" ht="15" hidden="false" customHeight="true" outlineLevel="0" collapsed="false">
      <c r="B13" s="26" t="s">
        <v>338</v>
      </c>
      <c r="C13" s="72" t="n">
        <v>144</v>
      </c>
      <c r="D13" s="72" t="n">
        <v>144</v>
      </c>
      <c r="E13" s="71" t="s">
        <v>336</v>
      </c>
      <c r="F13" s="10" t="s">
        <v>337</v>
      </c>
    </row>
    <row r="14" customFormat="false" ht="15" hidden="false" customHeight="true" outlineLevel="0" collapsed="false">
      <c r="B14" s="26" t="s">
        <v>339</v>
      </c>
      <c r="C14" s="72" t="n">
        <v>0</v>
      </c>
      <c r="D14" s="72" t="n">
        <v>21.96</v>
      </c>
      <c r="E14" s="71" t="s">
        <v>340</v>
      </c>
      <c r="F14" s="10" t="s">
        <v>341</v>
      </c>
    </row>
    <row r="15" customFormat="false" ht="15" hidden="false" customHeight="true" outlineLevel="0" collapsed="false">
      <c r="B15" s="26" t="s">
        <v>342</v>
      </c>
      <c r="C15" s="72" t="n">
        <v>0</v>
      </c>
      <c r="D15" s="72" t="n">
        <v>13.33</v>
      </c>
      <c r="E15" s="71" t="s">
        <v>343</v>
      </c>
      <c r="F15" s="10" t="s">
        <v>341</v>
      </c>
    </row>
    <row r="16" customFormat="false" ht="15" hidden="false" customHeight="true" outlineLevel="0" collapsed="false">
      <c r="B16" s="28" t="s">
        <v>344</v>
      </c>
      <c r="C16" s="73" t="n">
        <v>2951.03</v>
      </c>
      <c r="D16" s="73" t="n">
        <v>2986.43</v>
      </c>
      <c r="E16" s="74" t="s">
        <v>345</v>
      </c>
      <c r="F16" s="75" t="s">
        <v>346</v>
      </c>
    </row>
    <row r="17" customFormat="false" ht="15" hidden="false" customHeight="true" outlineLevel="0" collapsed="false">
      <c r="B17" s="26" t="s">
        <v>347</v>
      </c>
      <c r="C17" s="76" t="n">
        <v>2.546</v>
      </c>
      <c r="D17" s="76" t="n">
        <v>2.72</v>
      </c>
      <c r="E17" s="71" t="s">
        <v>348</v>
      </c>
      <c r="F17" s="10" t="s">
        <v>349</v>
      </c>
    </row>
    <row r="19" customFormat="false" ht="15" hidden="false" customHeight="true" outlineLevel="0" collapsed="false">
      <c r="B19" s="10" t="s">
        <v>350</v>
      </c>
    </row>
    <row r="20" customFormat="false" ht="15" hidden="false" customHeight="true" outlineLevel="0" collapsed="false">
      <c r="B20" s="10" t="s">
        <v>351</v>
      </c>
    </row>
    <row r="22" customFormat="false" ht="15" hidden="false" customHeight="true" outlineLevel="0" collapsed="false">
      <c r="B22" s="6" t="s">
        <v>352</v>
      </c>
      <c r="C22" s="7"/>
      <c r="D22" s="7"/>
      <c r="E22" s="7"/>
      <c r="F22" s="7"/>
    </row>
    <row r="23" customFormat="false" ht="15" hidden="false" customHeight="true" outlineLevel="0" collapsed="false">
      <c r="B23" s="22" t="s">
        <v>353</v>
      </c>
      <c r="C23" s="22" t="s">
        <v>354</v>
      </c>
      <c r="D23" s="22" t="s">
        <v>355</v>
      </c>
      <c r="E23" s="22" t="s">
        <v>356</v>
      </c>
      <c r="F23" s="22" t="s">
        <v>323</v>
      </c>
    </row>
    <row r="24" customFormat="false" ht="15" hidden="false" customHeight="true" outlineLevel="0" collapsed="false">
      <c r="B24" s="26" t="s">
        <v>357</v>
      </c>
      <c r="C24" s="77" t="n">
        <f aca="false">'Load Board'!N23</f>
        <v>2.15993650463204</v>
      </c>
      <c r="D24" s="76" t="n">
        <v>2.163</v>
      </c>
      <c r="E24" s="76" t="n">
        <v>2.125</v>
      </c>
      <c r="F24" s="10" t="s">
        <v>358</v>
      </c>
    </row>
    <row r="25" customFormat="false" ht="15" hidden="false" customHeight="true" outlineLevel="0" collapsed="false">
      <c r="B25" s="26" t="s">
        <v>359</v>
      </c>
      <c r="C25" s="77" t="n">
        <f aca="false">'Load Board'!U23</f>
        <v>1.27532898960866</v>
      </c>
      <c r="D25" s="76" t="n">
        <v>1.24</v>
      </c>
      <c r="E25" s="76" t="n">
        <v>0.783</v>
      </c>
      <c r="F25" s="10" t="s">
        <v>360</v>
      </c>
    </row>
    <row r="26" customFormat="false" ht="15" hidden="false" customHeight="true" outlineLevel="0" collapsed="false">
      <c r="B26" s="26" t="s">
        <v>361</v>
      </c>
      <c r="C26" s="78" t="n">
        <f aca="false">'Load Board'!J23</f>
        <v>19214</v>
      </c>
      <c r="D26" s="24" t="n">
        <v>56752</v>
      </c>
      <c r="E26" s="24" t="n">
        <v>460589</v>
      </c>
      <c r="F26" s="10" t="s">
        <v>362</v>
      </c>
    </row>
    <row r="27" customFormat="false" ht="15" hidden="false" customHeight="true" outlineLevel="0" collapsed="false">
      <c r="B27" s="26" t="s">
        <v>363</v>
      </c>
      <c r="C27" s="79" t="n">
        <f aca="false">'Load Board'!W23</f>
        <v>0.126522327469553</v>
      </c>
      <c r="D27" s="80" t="s">
        <v>364</v>
      </c>
      <c r="E27" s="80" t="s">
        <v>364</v>
      </c>
      <c r="F27" s="10" t="s">
        <v>365</v>
      </c>
    </row>
    <row r="29" customFormat="false" ht="15" hidden="false" customHeight="true" outlineLevel="0" collapsed="false">
      <c r="B29" s="6" t="s">
        <v>366</v>
      </c>
      <c r="C29" s="7"/>
      <c r="D29" s="7"/>
      <c r="E29" s="7"/>
      <c r="F29" s="7"/>
    </row>
    <row r="30" customFormat="false" ht="15" hidden="false" customHeight="true" outlineLevel="0" collapsed="false">
      <c r="B30" s="22" t="s">
        <v>367</v>
      </c>
      <c r="C30" s="22" t="s">
        <v>368</v>
      </c>
      <c r="D30" s="22" t="s">
        <v>355</v>
      </c>
      <c r="E30" s="22" t="s">
        <v>369</v>
      </c>
      <c r="F30" s="22" t="s">
        <v>370</v>
      </c>
    </row>
    <row r="31" customFormat="false" ht="15" hidden="false" customHeight="true" outlineLevel="0" collapsed="false">
      <c r="B31" s="26" t="s">
        <v>371</v>
      </c>
      <c r="C31" s="71" t="s">
        <v>372</v>
      </c>
      <c r="D31" s="71" t="s">
        <v>373</v>
      </c>
      <c r="E31" s="71" t="s">
        <v>373</v>
      </c>
      <c r="F31" s="10" t="s">
        <v>374</v>
      </c>
    </row>
    <row r="32" customFormat="false" ht="15" hidden="false" customHeight="true" outlineLevel="0" collapsed="false">
      <c r="B32" s="26" t="s">
        <v>375</v>
      </c>
      <c r="C32" s="71" t="s">
        <v>376</v>
      </c>
      <c r="D32" s="71" t="s">
        <v>377</v>
      </c>
      <c r="E32" s="71" t="s">
        <v>377</v>
      </c>
      <c r="F32" s="10" t="s">
        <v>378</v>
      </c>
    </row>
    <row r="33" customFormat="false" ht="15" hidden="false" customHeight="true" outlineLevel="0" collapsed="false">
      <c r="B33" s="26" t="s">
        <v>67</v>
      </c>
      <c r="C33" s="71" t="s">
        <v>379</v>
      </c>
      <c r="D33" s="71" t="s">
        <v>380</v>
      </c>
      <c r="E33" s="71" t="s">
        <v>381</v>
      </c>
      <c r="F33" s="10" t="s">
        <v>382</v>
      </c>
    </row>
    <row r="34" customFormat="false" ht="15" hidden="false" customHeight="true" outlineLevel="0" collapsed="false">
      <c r="B34" s="26" t="s">
        <v>383</v>
      </c>
      <c r="C34" s="71" t="s">
        <v>384</v>
      </c>
      <c r="D34" s="71" t="s">
        <v>385</v>
      </c>
      <c r="E34" s="71" t="s">
        <v>384</v>
      </c>
      <c r="F34" s="10" t="s">
        <v>386</v>
      </c>
    </row>
    <row r="35" customFormat="false" ht="15" hidden="false" customHeight="true" outlineLevel="0" collapsed="false">
      <c r="B35" s="26" t="s">
        <v>387</v>
      </c>
      <c r="C35" s="71" t="s">
        <v>388</v>
      </c>
      <c r="D35" s="71" t="s">
        <v>384</v>
      </c>
      <c r="E35" s="71" t="s">
        <v>384</v>
      </c>
      <c r="F35" s="10" t="s">
        <v>389</v>
      </c>
    </row>
    <row r="36" customFormat="false" ht="15" hidden="false" customHeight="true" outlineLevel="0" collapsed="false">
      <c r="B36" s="26" t="s">
        <v>390</v>
      </c>
      <c r="C36" s="71" t="s">
        <v>391</v>
      </c>
      <c r="D36" s="71" t="s">
        <v>392</v>
      </c>
      <c r="E36" s="71" t="s">
        <v>393</v>
      </c>
      <c r="F36" s="10" t="s">
        <v>394</v>
      </c>
    </row>
    <row r="37" customFormat="false" ht="15" hidden="false" customHeight="true" outlineLevel="0" collapsed="false">
      <c r="B37" s="26" t="s">
        <v>106</v>
      </c>
      <c r="C37" s="71" t="s">
        <v>395</v>
      </c>
      <c r="D37" s="71" t="s">
        <v>396</v>
      </c>
      <c r="E37" s="71" t="s">
        <v>397</v>
      </c>
      <c r="F37" s="10" t="s">
        <v>398</v>
      </c>
    </row>
    <row r="38" customFormat="false" ht="15" hidden="false" customHeight="true" outlineLevel="0" collapsed="false">
      <c r="B38" s="26" t="s">
        <v>399</v>
      </c>
      <c r="C38" s="71" t="s">
        <v>400</v>
      </c>
      <c r="D38" s="71" t="s">
        <v>364</v>
      </c>
      <c r="E38" s="71" t="s">
        <v>401</v>
      </c>
      <c r="F38" s="10" t="s">
        <v>402</v>
      </c>
    </row>
    <row r="40" customFormat="false" ht="15" hidden="false" customHeight="true" outlineLevel="0" collapsed="false">
      <c r="B40" s="4" t="s">
        <v>403</v>
      </c>
    </row>
    <row r="41" customFormat="false" ht="15" hidden="false" customHeight="true" outlineLevel="0" collapsed="false">
      <c r="B41" s="10" t="s">
        <v>404</v>
      </c>
    </row>
    <row r="42" customFormat="false" ht="15" hidden="false" customHeight="true" outlineLevel="0" collapsed="false">
      <c r="B42" s="10" t="s">
        <v>405</v>
      </c>
    </row>
    <row r="43" customFormat="false" ht="15" hidden="false" customHeight="true" outlineLevel="0" collapsed="false">
      <c r="B43" s="10"/>
    </row>
    <row r="44" customFormat="false" ht="15" hidden="false" customHeight="true" outlineLevel="0" collapsed="false">
      <c r="B44" s="10" t="s">
        <v>406</v>
      </c>
    </row>
    <row r="45" customFormat="false" ht="15" hidden="false" customHeight="true" outlineLevel="0" collapsed="false">
      <c r="B45" s="10" t="s">
        <v>407</v>
      </c>
    </row>
    <row r="46" customFormat="false" ht="15" hidden="false" customHeight="true" outlineLevel="0" collapsed="false">
      <c r="B46" s="10" t="s">
        <v>408</v>
      </c>
    </row>
    <row r="47" customFormat="false" ht="15" hidden="false" customHeight="true" outlineLevel="0" collapsed="false">
      <c r="B47" s="10" t="s">
        <v>409</v>
      </c>
    </row>
    <row r="48" customFormat="false" ht="15" hidden="false" customHeight="true" outlineLevel="0" collapsed="false">
      <c r="B48" s="10"/>
    </row>
    <row r="49" customFormat="false" ht="15" hidden="false" customHeight="true" outlineLevel="0" collapsed="false">
      <c r="B49" s="10" t="s">
        <v>410</v>
      </c>
    </row>
    <row r="50" customFormat="false" ht="15" hidden="false" customHeight="true" outlineLevel="0" collapsed="false">
      <c r="B50" s="10" t="s">
        <v>411</v>
      </c>
    </row>
    <row r="51" customFormat="false" ht="15" hidden="false" customHeight="true" outlineLevel="0" collapsed="false">
      <c r="B51" s="10" t="s">
        <v>412</v>
      </c>
    </row>
    <row r="52" customFormat="false" ht="15" hidden="false" customHeight="true" outlineLevel="0" collapsed="false">
      <c r="B52" s="10"/>
    </row>
    <row r="53" customFormat="false" ht="15" hidden="false" customHeight="true" outlineLevel="0" collapsed="false">
      <c r="B53" s="10" t="s">
        <v>413</v>
      </c>
    </row>
    <row r="54" customFormat="false" ht="15" hidden="false" customHeight="true" outlineLevel="0" collapsed="false">
      <c r="B54" s="10" t="s">
        <v>414</v>
      </c>
    </row>
    <row r="55" customFormat="false" ht="15" hidden="false" customHeight="true" outlineLevel="0" collapsed="false">
      <c r="B55" s="10" t="s">
        <v>415</v>
      </c>
    </row>
    <row r="57" customFormat="false" ht="15" hidden="false" customHeight="true" outlineLevel="0" collapsed="false">
      <c r="B57" s="4" t="s">
        <v>416</v>
      </c>
    </row>
    <row r="58" customFormat="false" ht="15" hidden="false" customHeight="true" outlineLevel="0" collapsed="false">
      <c r="B58" s="10" t="s">
        <v>417</v>
      </c>
    </row>
    <row r="59" customFormat="false" ht="15" hidden="false" customHeight="true" outlineLevel="0" collapsed="false">
      <c r="B59" s="10"/>
    </row>
    <row r="60" customFormat="false" ht="15" hidden="false" customHeight="true" outlineLevel="0" collapsed="false">
      <c r="B60" s="10" t="s">
        <v>418</v>
      </c>
    </row>
    <row r="61" customFormat="false" ht="15" hidden="false" customHeight="true" outlineLevel="0" collapsed="false">
      <c r="B61" s="10" t="s">
        <v>419</v>
      </c>
    </row>
    <row r="62" customFormat="false" ht="15" hidden="false" customHeight="true" outlineLevel="0" collapsed="false">
      <c r="B62" s="10" t="s">
        <v>420</v>
      </c>
    </row>
    <row r="63" customFormat="false" ht="15" hidden="false" customHeight="true" outlineLevel="0" collapsed="false">
      <c r="B63" s="10" t="s">
        <v>421</v>
      </c>
    </row>
    <row r="64" customFormat="false" ht="15" hidden="false" customHeight="true" outlineLevel="0" collapsed="false">
      <c r="B64" s="10"/>
    </row>
    <row r="65" customFormat="false" ht="15" hidden="false" customHeight="true" outlineLevel="0" collapsed="false">
      <c r="B65" s="10" t="s">
        <v>422</v>
      </c>
    </row>
    <row r="66" customFormat="false" ht="15" hidden="false" customHeight="true" outlineLevel="0" collapsed="false">
      <c r="B66" s="10" t="s">
        <v>423</v>
      </c>
    </row>
    <row r="67" customFormat="false" ht="15" hidden="false" customHeight="true" outlineLevel="0" collapsed="false">
      <c r="B67" s="10"/>
    </row>
    <row r="68" customFormat="false" ht="15" hidden="false" customHeight="true" outlineLevel="0" collapsed="false">
      <c r="B68" s="10" t="s">
        <v>424</v>
      </c>
    </row>
    <row r="69" customFormat="false" ht="15" hidden="false" customHeight="true" outlineLevel="0" collapsed="false">
      <c r="B69" s="10" t="s">
        <v>425</v>
      </c>
    </row>
    <row r="70" customFormat="false" ht="15" hidden="false" customHeight="true" outlineLevel="0" collapsed="false">
      <c r="B70" s="10" t="s">
        <v>426</v>
      </c>
    </row>
    <row r="71" customFormat="false" ht="15" hidden="false" customHeight="true" outlineLevel="0" collapsed="false">
      <c r="B71" s="10" t="s">
        <v>427</v>
      </c>
    </row>
    <row r="72" customFormat="false" ht="15" hidden="false" customHeight="true" outlineLevel="0" collapsed="false">
      <c r="B72" s="10"/>
    </row>
    <row r="73" customFormat="false" ht="15" hidden="false" customHeight="true" outlineLevel="0" collapsed="false">
      <c r="B73" s="10" t="s">
        <v>428</v>
      </c>
    </row>
    <row r="74" customFormat="false" ht="15" hidden="false" customHeight="true" outlineLevel="0" collapsed="false">
      <c r="B74" s="10" t="s">
        <v>429</v>
      </c>
    </row>
    <row r="76" customFormat="false" ht="15" hidden="false" customHeight="true" outlineLevel="0" collapsed="false">
      <c r="B76" s="4" t="s">
        <v>430</v>
      </c>
    </row>
    <row r="77" customFormat="false" ht="15" hidden="false" customHeight="true" outlineLevel="0" collapsed="false">
      <c r="B77" s="10" t="s">
        <v>431</v>
      </c>
    </row>
    <row r="78" customFormat="false" ht="15" hidden="false" customHeight="true" outlineLevel="0" collapsed="false">
      <c r="B78" s="10" t="s">
        <v>432</v>
      </c>
    </row>
    <row r="79" customFormat="false" ht="15" hidden="false" customHeight="true" outlineLevel="0" collapsed="false">
      <c r="B79" s="10"/>
    </row>
    <row r="80" customFormat="false" ht="15" hidden="false" customHeight="true" outlineLevel="0" collapsed="false">
      <c r="B80" s="10" t="s">
        <v>433</v>
      </c>
    </row>
    <row r="81" customFormat="false" ht="15" hidden="false" customHeight="true" outlineLevel="0" collapsed="false">
      <c r="B81" s="10" t="s">
        <v>434</v>
      </c>
    </row>
    <row r="82" customFormat="false" ht="15" hidden="false" customHeight="true" outlineLevel="0" collapsed="false">
      <c r="B82" s="10" t="s">
        <v>435</v>
      </c>
    </row>
    <row r="83" customFormat="false" ht="15" hidden="false" customHeight="true" outlineLevel="0" collapsed="false">
      <c r="B83" s="10"/>
    </row>
    <row r="84" customFormat="false" ht="15" hidden="false" customHeight="true" outlineLevel="0" collapsed="false">
      <c r="B84" s="10" t="s">
        <v>436</v>
      </c>
    </row>
    <row r="85" customFormat="false" ht="15" hidden="false" customHeight="true" outlineLevel="0" collapsed="false">
      <c r="B85" s="10" t="s">
        <v>437</v>
      </c>
    </row>
    <row r="87" customFormat="false" ht="15" hidden="false" customHeight="true" outlineLevel="0" collapsed="false">
      <c r="B87" s="4" t="s">
        <v>438</v>
      </c>
    </row>
    <row r="88" customFormat="false" ht="15" hidden="false" customHeight="true" outlineLevel="0" collapsed="false">
      <c r="B88" s="10" t="s">
        <v>439</v>
      </c>
    </row>
    <row r="89" customFormat="false" ht="15" hidden="false" customHeight="true" outlineLevel="0" collapsed="false">
      <c r="B89" s="10" t="s">
        <v>440</v>
      </c>
    </row>
    <row r="90" customFormat="false" ht="15" hidden="false" customHeight="true" outlineLevel="0" collapsed="false">
      <c r="B90" s="10"/>
    </row>
    <row r="91" customFormat="false" ht="15" hidden="false" customHeight="true" outlineLevel="0" collapsed="false">
      <c r="B91" s="10" t="s">
        <v>441</v>
      </c>
    </row>
    <row r="92" customFormat="false" ht="15" hidden="false" customHeight="true" outlineLevel="0" collapsed="false">
      <c r="B92" s="10" t="s">
        <v>442</v>
      </c>
    </row>
    <row r="93" customFormat="false" ht="15" hidden="false" customHeight="true" outlineLevel="0" collapsed="false">
      <c r="B93" s="10" t="s">
        <v>443</v>
      </c>
    </row>
    <row r="94" customFormat="false" ht="15" hidden="false" customHeight="true" outlineLevel="0" collapsed="false">
      <c r="B94" s="10" t="s">
        <v>444</v>
      </c>
    </row>
    <row r="95" customFormat="false" ht="15" hidden="false" customHeight="true" outlineLevel="0" collapsed="false">
      <c r="B95" s="10"/>
    </row>
    <row r="96" customFormat="false" ht="15" hidden="false" customHeight="true" outlineLevel="0" collapsed="false">
      <c r="B96" s="10" t="s">
        <v>445</v>
      </c>
    </row>
    <row r="98" customFormat="false" ht="15" hidden="false" customHeight="true" outlineLevel="0" collapsed="false">
      <c r="B98" s="4" t="s">
        <v>446</v>
      </c>
    </row>
    <row r="99" customFormat="false" ht="15" hidden="false" customHeight="true" outlineLevel="0" collapsed="false">
      <c r="B99" s="10" t="s">
        <v>447</v>
      </c>
    </row>
    <row r="100" customFormat="false" ht="15" hidden="false" customHeight="true" outlineLevel="0" collapsed="false">
      <c r="B100" s="10" t="s">
        <v>448</v>
      </c>
    </row>
    <row r="101" customFormat="false" ht="15" hidden="false" customHeight="true" outlineLevel="0" collapsed="false">
      <c r="B101" s="10"/>
    </row>
    <row r="102" customFormat="false" ht="15" hidden="false" customHeight="true" outlineLevel="0" collapsed="false">
      <c r="B102" s="10" t="s">
        <v>449</v>
      </c>
    </row>
    <row r="103" customFormat="false" ht="15" hidden="false" customHeight="true" outlineLevel="0" collapsed="false">
      <c r="B103" s="10" t="s">
        <v>450</v>
      </c>
    </row>
    <row r="104" customFormat="false" ht="15" hidden="false" customHeight="true" outlineLevel="0" collapsed="false">
      <c r="B104" s="10" t="s">
        <v>451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8"/>
    <col collapsed="false" customWidth="true" hidden="false" outlineLevel="0" max="3" min="3" style="1" width="15"/>
    <col collapsed="false" customWidth="true" hidden="false" outlineLevel="0" max="4" min="4" style="1" width="100"/>
  </cols>
  <sheetData>
    <row r="2" customFormat="false" ht="19.5" hidden="false" customHeight="true" outlineLevel="0" collapsed="false">
      <c r="B2" s="2" t="s">
        <v>452</v>
      </c>
    </row>
    <row r="3" customFormat="false" ht="15" hidden="false" customHeight="true" outlineLevel="0" collapsed="false">
      <c r="B3" s="3" t="s">
        <v>453</v>
      </c>
    </row>
    <row r="5" customFormat="false" ht="15" hidden="false" customHeight="true" outlineLevel="0" collapsed="false">
      <c r="B5" s="6" t="s">
        <v>454</v>
      </c>
      <c r="C5" s="7"/>
      <c r="D5" s="7"/>
      <c r="E5" s="7"/>
    </row>
    <row r="6" customFormat="false" ht="15" hidden="false" customHeight="true" outlineLevel="0" collapsed="false">
      <c r="B6" s="8" t="s">
        <v>455</v>
      </c>
      <c r="C6" s="81" t="s">
        <v>456</v>
      </c>
      <c r="D6" s="10" t="s">
        <v>457</v>
      </c>
    </row>
    <row r="7" customFormat="false" ht="15" hidden="false" customHeight="true" outlineLevel="0" collapsed="false">
      <c r="B7" s="8" t="s">
        <v>458</v>
      </c>
      <c r="C7" s="81" t="s">
        <v>459</v>
      </c>
      <c r="D7" s="10" t="s">
        <v>460</v>
      </c>
    </row>
    <row r="8" customFormat="false" ht="15" hidden="false" customHeight="true" outlineLevel="0" collapsed="false">
      <c r="B8" s="82" t="s">
        <v>461</v>
      </c>
      <c r="C8" s="83" t="str">
        <f aca="false">IF(AND(UPPER(C6)="YES",UPPER(C7)="NO"),"PASS","STOP - DECLINE")</f>
        <v>PASS</v>
      </c>
    </row>
    <row r="10" customFormat="false" ht="15" hidden="false" customHeight="true" outlineLevel="0" collapsed="false">
      <c r="B10" s="6" t="s">
        <v>462</v>
      </c>
      <c r="C10" s="7"/>
      <c r="D10" s="7"/>
      <c r="E10" s="7"/>
    </row>
    <row r="11" customFormat="false" ht="15" hidden="false" customHeight="true" outlineLevel="0" collapsed="false">
      <c r="B11" s="8" t="s">
        <v>463</v>
      </c>
      <c r="C11" s="17" t="n">
        <v>1098</v>
      </c>
      <c r="D11" s="10" t="s">
        <v>464</v>
      </c>
    </row>
    <row r="12" customFormat="false" ht="15" hidden="false" customHeight="true" outlineLevel="0" collapsed="false">
      <c r="B12" s="8" t="s">
        <v>465</v>
      </c>
      <c r="C12" s="17" t="n">
        <v>204</v>
      </c>
      <c r="D12" s="10" t="s">
        <v>466</v>
      </c>
    </row>
    <row r="13" customFormat="false" ht="15" hidden="false" customHeight="true" outlineLevel="0" collapsed="false">
      <c r="B13" s="8" t="s">
        <v>467</v>
      </c>
      <c r="C13" s="70" t="n">
        <v>2986.43</v>
      </c>
      <c r="D13" s="10" t="s">
        <v>468</v>
      </c>
    </row>
    <row r="14" customFormat="false" ht="15" hidden="false" customHeight="true" outlineLevel="0" collapsed="false">
      <c r="B14" s="8" t="s">
        <v>469</v>
      </c>
      <c r="C14" s="81" t="s">
        <v>187</v>
      </c>
      <c r="D14" s="10" t="s">
        <v>470</v>
      </c>
    </row>
    <row r="15" customFormat="false" ht="15" hidden="false" customHeight="true" outlineLevel="0" collapsed="false">
      <c r="B15" s="8" t="s">
        <v>471</v>
      </c>
      <c r="C15" s="13" t="n">
        <v>24</v>
      </c>
      <c r="D15" s="10" t="s">
        <v>472</v>
      </c>
    </row>
    <row r="17" customFormat="false" ht="15" hidden="false" customHeight="true" outlineLevel="0" collapsed="false">
      <c r="B17" s="6" t="s">
        <v>473</v>
      </c>
      <c r="C17" s="7"/>
      <c r="D17" s="7"/>
      <c r="E17" s="7"/>
    </row>
    <row r="18" customFormat="false" ht="15" hidden="false" customHeight="true" outlineLevel="0" collapsed="false">
      <c r="B18" s="8" t="s">
        <v>474</v>
      </c>
      <c r="C18" s="16" t="n">
        <v>5</v>
      </c>
      <c r="D18" s="10" t="s">
        <v>475</v>
      </c>
    </row>
    <row r="19" customFormat="false" ht="15" hidden="false" customHeight="true" outlineLevel="0" collapsed="false">
      <c r="B19" s="8" t="s">
        <v>276</v>
      </c>
      <c r="C19" s="16" t="n">
        <v>3</v>
      </c>
      <c r="D19" s="10" t="s">
        <v>476</v>
      </c>
    </row>
    <row r="20" customFormat="false" ht="15" hidden="false" customHeight="true" outlineLevel="0" collapsed="false">
      <c r="B20" s="8" t="s">
        <v>282</v>
      </c>
      <c r="C20" s="16" t="n">
        <v>3</v>
      </c>
      <c r="D20" s="10" t="s">
        <v>477</v>
      </c>
    </row>
    <row r="21" customFormat="false" ht="15" hidden="false" customHeight="true" outlineLevel="0" collapsed="false">
      <c r="B21" s="8" t="s">
        <v>288</v>
      </c>
      <c r="C21" s="16" t="n">
        <v>3</v>
      </c>
      <c r="D21" s="10" t="s">
        <v>478</v>
      </c>
    </row>
    <row r="22" customFormat="false" ht="15" hidden="false" customHeight="true" outlineLevel="0" collapsed="false">
      <c r="B22" s="8" t="s">
        <v>294</v>
      </c>
      <c r="C22" s="16" t="n">
        <v>3</v>
      </c>
      <c r="D22" s="10" t="s">
        <v>479</v>
      </c>
    </row>
    <row r="24" customFormat="false" ht="15" hidden="false" customHeight="true" outlineLevel="0" collapsed="false">
      <c r="B24" s="6" t="s">
        <v>480</v>
      </c>
      <c r="C24" s="7"/>
      <c r="D24" s="7"/>
      <c r="E24" s="7"/>
    </row>
    <row r="25" customFormat="false" ht="15" hidden="false" customHeight="true" outlineLevel="0" collapsed="false">
      <c r="B25" s="8" t="s">
        <v>481</v>
      </c>
      <c r="C25" s="72" t="n">
        <f aca="false">IFERROR(C13/C11,0)</f>
        <v>2.71988160291439</v>
      </c>
      <c r="D25" s="10"/>
    </row>
    <row r="26" customFormat="false" ht="15" hidden="false" customHeight="true" outlineLevel="0" collapsed="false">
      <c r="B26" s="8" t="s">
        <v>482</v>
      </c>
      <c r="C26" s="84" t="n">
        <f aca="false">IF(C14="Heavy",Assumptions!$C$9,IF(C14="Medium",Assumptions!$C$10,Assumptions!$C$11))</f>
        <v>7</v>
      </c>
      <c r="D26" s="10" t="s">
        <v>483</v>
      </c>
    </row>
    <row r="27" customFormat="false" ht="15" hidden="false" customHeight="true" outlineLevel="0" collapsed="false">
      <c r="B27" s="8" t="s">
        <v>484</v>
      </c>
      <c r="C27" s="85" t="n">
        <f aca="false">IFERROR(C11/C26*Assumptions!$C$8,0)</f>
        <v>639.349714285714</v>
      </c>
      <c r="D27" s="10" t="s">
        <v>485</v>
      </c>
    </row>
    <row r="28" customFormat="false" ht="15" hidden="false" customHeight="true" outlineLevel="0" collapsed="false">
      <c r="B28" s="8" t="s">
        <v>486</v>
      </c>
      <c r="C28" s="85" t="n">
        <f aca="false">C11*Assumptions!$C$19</f>
        <v>263.52</v>
      </c>
      <c r="D28" s="10"/>
    </row>
    <row r="29" customFormat="false" ht="15" hidden="false" customHeight="true" outlineLevel="0" collapsed="false">
      <c r="B29" s="8" t="s">
        <v>487</v>
      </c>
      <c r="C29" s="85" t="n">
        <f aca="false">C11*Assumptions!$C$30</f>
        <v>122.210087412587</v>
      </c>
      <c r="D29" s="10"/>
    </row>
    <row r="30" customFormat="false" ht="15" hidden="false" customHeight="true" outlineLevel="0" collapsed="false">
      <c r="B30" s="11" t="s">
        <v>488</v>
      </c>
      <c r="C30" s="20" t="n">
        <f aca="false">C27+C28+C29</f>
        <v>1025.0798016983</v>
      </c>
      <c r="D30" s="10"/>
    </row>
    <row r="31" customFormat="false" ht="15" hidden="false" customHeight="true" outlineLevel="0" collapsed="false">
      <c r="B31" s="11" t="s">
        <v>489</v>
      </c>
      <c r="C31" s="20" t="n">
        <f aca="false">C13-C30</f>
        <v>1961.3501983017</v>
      </c>
      <c r="D31" s="10" t="s">
        <v>490</v>
      </c>
    </row>
    <row r="32" customFormat="false" ht="15" hidden="false" customHeight="true" outlineLevel="0" collapsed="false">
      <c r="B32" s="11" t="s">
        <v>491</v>
      </c>
      <c r="C32" s="73" t="n">
        <f aca="false">IFERROR(C31/C11,0)</f>
        <v>1.78629344107623</v>
      </c>
      <c r="D32" s="10"/>
    </row>
    <row r="33" customFormat="false" ht="15" hidden="false" customHeight="true" outlineLevel="0" collapsed="false">
      <c r="B33" s="11" t="s">
        <v>492</v>
      </c>
      <c r="C33" s="20" t="n">
        <f aca="false">IFERROR(C31/C15,0)</f>
        <v>81.7229249292374</v>
      </c>
      <c r="D33" s="10" t="s">
        <v>493</v>
      </c>
    </row>
    <row r="34" customFormat="false" ht="15" hidden="false" customHeight="true" outlineLevel="0" collapsed="false">
      <c r="B34" s="11" t="s">
        <v>494</v>
      </c>
      <c r="C34" s="86" t="n">
        <f aca="false">IFERROR(C12/C11,0)</f>
        <v>0.185792349726776</v>
      </c>
      <c r="D34" s="10" t="s">
        <v>495</v>
      </c>
    </row>
    <row r="36" customFormat="false" ht="17.25" hidden="false" customHeight="true" outlineLevel="0" collapsed="false">
      <c r="B36" s="87" t="s">
        <v>496</v>
      </c>
      <c r="C36" s="88" t="n">
        <f aca="false">IF(C32&gt;=RATE5,5,IF(C32&gt;=RATE4,4,IF(C32&gt;=RATE3,3,IF(C32&gt;=RATE2,2,1))))*WRATE+C18*WDEST+IF(C33&gt;=TIME5,5,IF(C33&gt;=TIME4,4,IF(C33&gt;=TIME3,3,IF(C33&gt;=TIME2,2,1))))*WTIME+IF(C34&lt;=0.05,5,IF(C34&lt;=0.1,4,IF(C34&lt;=0.18,3,IF(C34&lt;=0.28,2,1))))*WDH+C19*WDWELL+C20*WSEC+C21*WROUTE+C22*WHOS</f>
        <v>4.2</v>
      </c>
      <c r="D36" s="10" t="s">
        <v>497</v>
      </c>
    </row>
    <row r="37" customFormat="false" ht="17.25" hidden="false" customHeight="true" outlineLevel="0" collapsed="false">
      <c r="B37" s="87" t="s">
        <v>170</v>
      </c>
      <c r="C37" s="89" t="str">
        <f aca="false">IF(C8&lt;&gt;"PASS","DECLINE - gate 3",IF(C31&lt;0,"DECLINE - gate 1",IF(C34&gt;Assumptions!$C$49,"DECLINE - gate 2",IF(C36&gt;=Assumptions!$C$50,"ACCEPT",IF(C36&gt;=Assumptions!$C$51,"NEGOTIATE","DECLINE - score")))))</f>
        <v>ACCEPT</v>
      </c>
    </row>
    <row r="39" customFormat="false" ht="15" hidden="false" customHeight="true" outlineLevel="0" collapsed="false">
      <c r="B39" s="10" t="s">
        <v>498</v>
      </c>
    </row>
    <row r="41" customFormat="false" ht="15" hidden="false" customHeight="true" outlineLevel="0" collapsed="false">
      <c r="B41" s="4" t="s">
        <v>499</v>
      </c>
    </row>
    <row r="42" customFormat="false" ht="15" hidden="false" customHeight="true" outlineLevel="0" collapsed="false">
      <c r="B42" s="10" t="s">
        <v>500</v>
      </c>
    </row>
    <row r="43" customFormat="false" ht="15" hidden="false" customHeight="true" outlineLevel="0" collapsed="false">
      <c r="B43" s="10" t="s">
        <v>501</v>
      </c>
    </row>
    <row r="44" customFormat="false" ht="15" hidden="false" customHeight="true" outlineLevel="0" collapsed="false">
      <c r="B44" s="10" t="s">
        <v>502</v>
      </c>
    </row>
    <row r="45" customFormat="false" ht="15" hidden="false" customHeight="true" outlineLevel="0" collapsed="false">
      <c r="B45" s="10"/>
    </row>
    <row r="46" customFormat="false" ht="15" hidden="false" customHeight="true" outlineLevel="0" collapsed="false">
      <c r="B46" s="10" t="s">
        <v>503</v>
      </c>
    </row>
    <row r="47" customFormat="false" ht="15" hidden="false" customHeight="true" outlineLevel="0" collapsed="false">
      <c r="B47" s="10" t="s">
        <v>504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E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4"/>
    <col collapsed="false" customWidth="true" hidden="false" outlineLevel="0" max="3" min="3" style="1" width="26"/>
    <col collapsed="false" customWidth="true" hidden="false" outlineLevel="0" max="4" min="4" style="1" width="80"/>
  </cols>
  <sheetData>
    <row r="2" customFormat="false" ht="19.5" hidden="false" customHeight="true" outlineLevel="0" collapsed="false">
      <c r="B2" s="2" t="s">
        <v>505</v>
      </c>
    </row>
    <row r="3" customFormat="false" ht="15" hidden="false" customHeight="true" outlineLevel="0" collapsed="false">
      <c r="B3" s="3" t="s">
        <v>506</v>
      </c>
    </row>
    <row r="5" customFormat="false" ht="15" hidden="false" customHeight="true" outlineLevel="0" collapsed="false">
      <c r="B5" s="6" t="s">
        <v>507</v>
      </c>
      <c r="C5" s="7"/>
      <c r="D5" s="7"/>
      <c r="E5" s="7"/>
    </row>
    <row r="6" customFormat="false" ht="15" hidden="false" customHeight="true" outlineLevel="0" collapsed="false">
      <c r="B6" s="8" t="s">
        <v>508</v>
      </c>
      <c r="C6" s="24" t="n">
        <f aca="false">COUNT('Load Board'!G4:G21)</f>
        <v>18</v>
      </c>
      <c r="D6" s="10"/>
    </row>
    <row r="7" customFormat="false" ht="15" hidden="false" customHeight="true" outlineLevel="0" collapsed="false">
      <c r="B7" s="8" t="s">
        <v>509</v>
      </c>
      <c r="C7" s="72" t="n">
        <f aca="false">'Load Board'!G23</f>
        <v>41501.02</v>
      </c>
      <c r="D7" s="10" t="s">
        <v>510</v>
      </c>
    </row>
    <row r="8" customFormat="false" ht="15" hidden="false" customHeight="true" outlineLevel="0" collapsed="false">
      <c r="B8" s="8" t="s">
        <v>330</v>
      </c>
      <c r="C8" s="24" t="n">
        <f aca="false">'Load Board'!J23</f>
        <v>19214</v>
      </c>
      <c r="D8" s="10"/>
    </row>
    <row r="9" customFormat="false" ht="15" hidden="false" customHeight="true" outlineLevel="0" collapsed="false">
      <c r="B9" s="8" t="s">
        <v>511</v>
      </c>
      <c r="C9" s="76" t="n">
        <f aca="false">'Load Board'!N23</f>
        <v>2.15993650463204</v>
      </c>
      <c r="D9" s="10" t="s">
        <v>512</v>
      </c>
    </row>
    <row r="10" customFormat="false" ht="15" hidden="false" customHeight="true" outlineLevel="0" collapsed="false">
      <c r="B10" s="11" t="s">
        <v>513</v>
      </c>
      <c r="C10" s="12" t="n">
        <f aca="false">'Load Board'!U23</f>
        <v>1.27532898960866</v>
      </c>
      <c r="D10" s="10" t="s">
        <v>514</v>
      </c>
    </row>
    <row r="11" customFormat="false" ht="15" hidden="false" customHeight="true" outlineLevel="0" collapsed="false">
      <c r="B11" s="8" t="s">
        <v>363</v>
      </c>
      <c r="C11" s="80" t="n">
        <f aca="false">'Load Board'!W23</f>
        <v>0.126522327469553</v>
      </c>
      <c r="D11" s="10" t="s">
        <v>515</v>
      </c>
    </row>
    <row r="13" customFormat="false" ht="15" hidden="false" customHeight="true" outlineLevel="0" collapsed="false">
      <c r="B13" s="6" t="s">
        <v>516</v>
      </c>
      <c r="C13" s="7"/>
      <c r="D13" s="7"/>
      <c r="E13" s="7"/>
    </row>
    <row r="14" customFormat="false" ht="15" hidden="false" customHeight="true" outlineLevel="0" collapsed="false">
      <c r="B14" s="8" t="s">
        <v>517</v>
      </c>
      <c r="C14" s="90" t="n">
        <f aca="false">CORREL('Load Board'!AI4:AI21,'Load Board'!N4:N21)</f>
        <v>0.567139803136874</v>
      </c>
      <c r="D14" s="10" t="s">
        <v>518</v>
      </c>
    </row>
    <row r="15" customFormat="false" ht="15" hidden="false" customHeight="true" outlineLevel="0" collapsed="false">
      <c r="B15" s="8" t="s">
        <v>519</v>
      </c>
      <c r="C15" s="90" t="n">
        <f aca="false">CORREL('Load Board'!AI4:AI21,'Load Board'!U4:U21)</f>
        <v>0.617957323020441</v>
      </c>
      <c r="D15" s="10" t="s">
        <v>520</v>
      </c>
    </row>
    <row r="16" customFormat="false" ht="15" hidden="false" customHeight="true" outlineLevel="0" collapsed="false">
      <c r="B16" s="11" t="s">
        <v>521</v>
      </c>
      <c r="C16" s="91" t="n">
        <f aca="false">CORREL('Load Board'!AI4:AI21,'Load Board'!AF4:AF21)</f>
        <v>0.556097288417801</v>
      </c>
      <c r="D16" s="10" t="s">
        <v>522</v>
      </c>
    </row>
    <row r="17" customFormat="false" ht="15" hidden="false" customHeight="true" outlineLevel="0" collapsed="false">
      <c r="B17" s="8" t="s">
        <v>523</v>
      </c>
      <c r="C17" s="80" t="n">
        <f aca="false">C16^2</f>
        <v>0.309244194185631</v>
      </c>
      <c r="D17" s="10" t="s">
        <v>524</v>
      </c>
    </row>
    <row r="19" customFormat="false" ht="15" hidden="false" customHeight="true" outlineLevel="0" collapsed="false">
      <c r="B19" s="8" t="s">
        <v>525</v>
      </c>
      <c r="C19" s="90" t="n">
        <f aca="false">'Load Board'!AI23</f>
        <v>8.5</v>
      </c>
      <c r="D19" s="10"/>
    </row>
    <row r="20" customFormat="false" ht="15" hidden="false" customHeight="true" outlineLevel="0" collapsed="false">
      <c r="B20" s="8" t="s">
        <v>526</v>
      </c>
      <c r="C20" s="90" t="n">
        <f aca="false">'Load Board'!AF23*2</f>
        <v>7.12777777777778</v>
      </c>
      <c r="D20" s="10"/>
    </row>
    <row r="21" customFormat="false" ht="15" hidden="false" customHeight="true" outlineLevel="0" collapsed="false">
      <c r="B21" s="8" t="s">
        <v>527</v>
      </c>
      <c r="C21" s="92" t="n">
        <f aca="false">C20-C19</f>
        <v>-1.37222222222222</v>
      </c>
      <c r="D21" s="10" t="s">
        <v>528</v>
      </c>
    </row>
    <row r="23" customFormat="false" ht="15" hidden="false" customHeight="true" outlineLevel="0" collapsed="false">
      <c r="B23" s="6" t="s">
        <v>529</v>
      </c>
      <c r="C23" s="7"/>
      <c r="D23" s="7"/>
      <c r="E23" s="7"/>
    </row>
    <row r="24" customFormat="false" ht="15" hidden="false" customHeight="true" outlineLevel="0" collapsed="false">
      <c r="B24" s="5" t="s">
        <v>530</v>
      </c>
      <c r="C24" s="93" t="s">
        <v>531</v>
      </c>
    </row>
    <row r="25" customFormat="false" ht="15" hidden="false" customHeight="true" outlineLevel="0" collapsed="false">
      <c r="B25" s="5" t="s">
        <v>532</v>
      </c>
      <c r="C25" s="93" t="s">
        <v>533</v>
      </c>
    </row>
    <row r="26" customFormat="false" ht="15" hidden="false" customHeight="true" outlineLevel="0" collapsed="false">
      <c r="B26" s="5" t="s">
        <v>534</v>
      </c>
      <c r="C26" s="93" t="s">
        <v>535</v>
      </c>
    </row>
    <row r="27" customFormat="false" ht="15" hidden="false" customHeight="true" outlineLevel="0" collapsed="false">
      <c r="B27" s="5" t="s">
        <v>536</v>
      </c>
      <c r="C27" s="93" t="s">
        <v>537</v>
      </c>
    </row>
    <row r="29" customFormat="false" ht="15" hidden="false" customHeight="true" outlineLevel="0" collapsed="false">
      <c r="B29" s="3" t="s">
        <v>538</v>
      </c>
    </row>
    <row r="30" customFormat="false" ht="15" hidden="false" customHeight="true" outlineLevel="0" collapsed="false">
      <c r="B30" s="3" t="s">
        <v>539</v>
      </c>
    </row>
    <row r="31" customFormat="false" ht="15" hidden="false" customHeight="true" outlineLevel="0" collapsed="false">
      <c r="B31" s="3"/>
    </row>
    <row r="32" customFormat="false" ht="15" hidden="false" customHeight="true" outlineLevel="0" collapsed="false">
      <c r="B32" s="3" t="s">
        <v>540</v>
      </c>
    </row>
    <row r="33" customFormat="false" ht="15" hidden="false" customHeight="true" outlineLevel="0" collapsed="false">
      <c r="B33" s="3" t="s">
        <v>541</v>
      </c>
    </row>
    <row r="34" customFormat="false" ht="15" hidden="false" customHeight="true" outlineLevel="0" collapsed="false">
      <c r="B34" s="3" t="s">
        <v>542</v>
      </c>
    </row>
    <row r="35" customFormat="false" ht="15" hidden="false" customHeight="true" outlineLevel="0" collapsed="false">
      <c r="B35" s="3"/>
    </row>
    <row r="36" customFormat="false" ht="15" hidden="false" customHeight="true" outlineLevel="0" collapsed="false">
      <c r="B36" s="3" t="s">
        <v>543</v>
      </c>
    </row>
    <row r="37" customFormat="false" ht="15" hidden="false" customHeight="true" outlineLevel="0" collapsed="false">
      <c r="B37" s="3" t="s">
        <v>544</v>
      </c>
    </row>
    <row r="38" customFormat="false" ht="15" hidden="false" customHeight="true" outlineLevel="0" collapsed="false">
      <c r="B38" s="3" t="s">
        <v>545</v>
      </c>
    </row>
    <row r="39" customFormat="false" ht="15" hidden="false" customHeight="true" outlineLevel="0" collapsed="false">
      <c r="B39" s="3"/>
    </row>
    <row r="40" customFormat="false" ht="15" hidden="false" customHeight="true" outlineLevel="0" collapsed="false">
      <c r="B40" s="3" t="s">
        <v>546</v>
      </c>
    </row>
    <row r="41" customFormat="false" ht="15" hidden="false" customHeight="true" outlineLevel="0" collapsed="false">
      <c r="B41" s="3" t="s">
        <v>547</v>
      </c>
    </row>
    <row r="43" customFormat="false" ht="15" hidden="false" customHeight="true" outlineLevel="0" collapsed="false">
      <c r="B43" s="6" t="s">
        <v>548</v>
      </c>
      <c r="C43" s="7"/>
      <c r="D43" s="7"/>
      <c r="E43" s="7"/>
    </row>
    <row r="44" customFormat="false" ht="15" hidden="false" customHeight="true" outlineLevel="0" collapsed="false">
      <c r="B44" s="3" t="s">
        <v>549</v>
      </c>
    </row>
    <row r="45" customFormat="false" ht="15" hidden="false" customHeight="true" outlineLevel="0" collapsed="false">
      <c r="B45" s="3" t="s">
        <v>550</v>
      </c>
    </row>
    <row r="46" customFormat="false" ht="15" hidden="false" customHeight="true" outlineLevel="0" collapsed="false">
      <c r="B46" s="3" t="s">
        <v>551</v>
      </c>
    </row>
    <row r="47" customFormat="false" ht="15" hidden="false" customHeight="true" outlineLevel="0" collapsed="false">
      <c r="B47" s="3"/>
    </row>
    <row r="48" customFormat="false" ht="15" hidden="false" customHeight="true" outlineLevel="0" collapsed="false">
      <c r="B48" s="3" t="s">
        <v>552</v>
      </c>
    </row>
    <row r="49" customFormat="false" ht="15" hidden="false" customHeight="true" outlineLevel="0" collapsed="false">
      <c r="B49" s="3" t="s">
        <v>553</v>
      </c>
    </row>
    <row r="50" customFormat="false" ht="15" hidden="false" customHeight="true" outlineLevel="0" collapsed="false">
      <c r="B50" s="3" t="s">
        <v>554</v>
      </c>
    </row>
    <row r="51" customFormat="false" ht="15" hidden="false" customHeight="true" outlineLevel="0" collapsed="false">
      <c r="B51" s="3"/>
    </row>
    <row r="52" customFormat="false" ht="15" hidden="false" customHeight="true" outlineLevel="0" collapsed="false">
      <c r="B52" s="3" t="s">
        <v>555</v>
      </c>
    </row>
    <row r="53" customFormat="false" ht="15" hidden="false" customHeight="true" outlineLevel="0" collapsed="false">
      <c r="B53" s="3" t="s">
        <v>556</v>
      </c>
    </row>
    <row r="54" customFormat="false" ht="15" hidden="false" customHeight="true" outlineLevel="0" collapsed="false">
      <c r="B54" s="3"/>
    </row>
    <row r="55" customFormat="false" ht="15" hidden="false" customHeight="true" outlineLevel="0" collapsed="false">
      <c r="B55" s="3" t="s">
        <v>557</v>
      </c>
    </row>
    <row r="56" customFormat="false" ht="15" hidden="false" customHeight="true" outlineLevel="0" collapsed="false">
      <c r="B56" s="3" t="s">
        <v>558</v>
      </c>
    </row>
    <row r="57" customFormat="false" ht="15" hidden="false" customHeight="true" outlineLevel="0" collapsed="false">
      <c r="B57" s="3"/>
    </row>
    <row r="58" customFormat="false" ht="15" hidden="false" customHeight="true" outlineLevel="0" collapsed="false">
      <c r="B58" s="3" t="s">
        <v>559</v>
      </c>
    </row>
    <row r="59" customFormat="false" ht="15" hidden="false" customHeight="true" outlineLevel="0" collapsed="false">
      <c r="B59" s="3" t="s">
        <v>560</v>
      </c>
    </row>
    <row r="60" customFormat="false" ht="15" hidden="false" customHeight="true" outlineLevel="0" collapsed="false">
      <c r="B60" s="3"/>
    </row>
    <row r="61" customFormat="false" ht="15" hidden="false" customHeight="true" outlineLevel="0" collapsed="false">
      <c r="B61" s="3" t="s">
        <v>561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2026-08-05T21:21:37Z</dcterms:created>
  <dc:creator>openpyxl</dc:creator>
  <dc:description/>
  <dc:language>en-US</dc:language>
  <cp:lastModifiedBy/>
  <dcterms:modified xsi:type="dcterms:W3CDTF">2026-08-07T03:31:28Z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